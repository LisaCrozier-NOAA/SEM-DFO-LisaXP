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sa.Crozier\Documents\Marine survival\SEM-DFO-LisaXP\data_Lisa\"/>
    </mc:Choice>
  </mc:AlternateContent>
  <xr:revisionPtr revIDLastSave="0" documentId="8_{DFC6687E-7310-46E4-8355-047CD2DCD257}" xr6:coauthVersionLast="47" xr6:coauthVersionMax="47" xr10:uidLastSave="{00000000-0000-0000-0000-000000000000}"/>
  <bookViews>
    <workbookView xWindow="31200" yWindow="2400" windowWidth="21600" windowHeight="11235" activeTab="1"/>
  </bookViews>
  <sheets>
    <sheet name="dfo_data_out_condition_only" sheetId="1" r:id="rId1"/>
    <sheet name="Sheet1" sheetId="2" r:id="rId2"/>
  </sheets>
  <definedNames>
    <definedName name="_xlnm._FilterDatabase" localSheetId="0" hidden="1">dfo_data_out_condition_only!$A$1:$D$264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4" i="2" l="1"/>
  <c r="H23" i="2"/>
  <c r="R21" i="2"/>
  <c r="C24" i="2"/>
  <c r="C23" i="2"/>
  <c r="M21" i="2"/>
  <c r="H21" i="2"/>
  <c r="C21" i="2"/>
  <c r="C266" i="1"/>
</calcChain>
</file>

<file path=xl/sharedStrings.xml><?xml version="1.0" encoding="utf-8"?>
<sst xmlns="http://schemas.openxmlformats.org/spreadsheetml/2006/main" count="696" uniqueCount="27">
  <si>
    <t>year</t>
  </si>
  <si>
    <t>metric</t>
  </si>
  <si>
    <t>value</t>
  </si>
  <si>
    <t>node</t>
  </si>
  <si>
    <t>L.mu.DFO.IntFYr</t>
  </si>
  <si>
    <t>condition_2</t>
  </si>
  <si>
    <t>L.sd.DFO.IntFYr</t>
  </si>
  <si>
    <t>K.mu.DFO.IntFYr</t>
  </si>
  <si>
    <t>K.sd.DFO.IntFYr</t>
  </si>
  <si>
    <t>NA</t>
  </si>
  <si>
    <t>L.mu.DFO.IntSprH</t>
  </si>
  <si>
    <t>L.sd.DFO.IntSprH</t>
  </si>
  <si>
    <t>K.mu.DFO.IntSprH</t>
  </si>
  <si>
    <t>K.sd.DFO.IntSprH</t>
  </si>
  <si>
    <t>L.mu.DFO.IntSprW</t>
  </si>
  <si>
    <t>L.sd.DFO.IntSprW</t>
  </si>
  <si>
    <t>K.mu.DFO.IntSprW</t>
  </si>
  <si>
    <t>K.sd.DFO.IntSprW</t>
  </si>
  <si>
    <t>cpue.IntFYr</t>
  </si>
  <si>
    <t>cpue.IntSprH</t>
  </si>
  <si>
    <t>cpue.IntSprW</t>
  </si>
  <si>
    <t>mean HW</t>
  </si>
  <si>
    <t>value wild</t>
  </si>
  <si>
    <t>value hatchery</t>
  </si>
  <si>
    <t>mean</t>
  </si>
  <si>
    <t>-2sd</t>
  </si>
  <si>
    <t>+2sd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</si>
</sst>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66"/>
  <sheetViews>
    <sheetView workbookViewId="0">
      <selection sqref="A1:D199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hidden="1" x14ac:dyDescent="0.3">
      <c r="A2">
        <v>1999</v>
      </c>
      <c r="B2" t="s">
        <v>4</v>
      </c>
      <c r="C2">
        <v>188.333333333333</v>
      </c>
      <c r="D2" t="s">
        <v>5</v>
      </c>
    </row>
    <row r="3" spans="1:4" hidden="1" x14ac:dyDescent="0.3">
      <c r="A3">
        <v>1999</v>
      </c>
      <c r="B3" t="s">
        <v>6</v>
      </c>
      <c r="C3">
        <v>14.1539158303748</v>
      </c>
      <c r="D3" t="s">
        <v>5</v>
      </c>
    </row>
    <row r="4" spans="1:4" hidden="1" x14ac:dyDescent="0.3">
      <c r="A4">
        <v>1999</v>
      </c>
      <c r="B4" t="s">
        <v>7</v>
      </c>
      <c r="C4">
        <v>1.1305251631451001</v>
      </c>
      <c r="D4" t="s">
        <v>5</v>
      </c>
    </row>
    <row r="5" spans="1:4" hidden="1" x14ac:dyDescent="0.3">
      <c r="A5">
        <v>1999</v>
      </c>
      <c r="B5" t="s">
        <v>8</v>
      </c>
      <c r="C5">
        <v>0.13004232956713499</v>
      </c>
      <c r="D5" t="s">
        <v>5</v>
      </c>
    </row>
    <row r="6" spans="1:4" hidden="1" x14ac:dyDescent="0.3">
      <c r="A6">
        <v>2000</v>
      </c>
      <c r="B6" t="s">
        <v>4</v>
      </c>
      <c r="C6">
        <v>221.78571428571399</v>
      </c>
      <c r="D6" t="s">
        <v>5</v>
      </c>
    </row>
    <row r="7" spans="1:4" hidden="1" x14ac:dyDescent="0.3">
      <c r="A7">
        <v>2000</v>
      </c>
      <c r="B7" t="s">
        <v>6</v>
      </c>
      <c r="C7">
        <v>16.830277530636302</v>
      </c>
      <c r="D7" t="s">
        <v>5</v>
      </c>
    </row>
    <row r="8" spans="1:4" hidden="1" x14ac:dyDescent="0.3">
      <c r="A8">
        <v>2000</v>
      </c>
      <c r="B8" t="s">
        <v>7</v>
      </c>
      <c r="C8">
        <v>1.2245655449027599</v>
      </c>
      <c r="D8" t="s">
        <v>5</v>
      </c>
    </row>
    <row r="9" spans="1:4" hidden="1" x14ac:dyDescent="0.3">
      <c r="A9">
        <v>2000</v>
      </c>
      <c r="B9" t="s">
        <v>8</v>
      </c>
      <c r="C9">
        <v>8.6238290029405806E-2</v>
      </c>
      <c r="D9" t="s">
        <v>5</v>
      </c>
    </row>
    <row r="10" spans="1:4" hidden="1" x14ac:dyDescent="0.3">
      <c r="A10">
        <v>2001</v>
      </c>
      <c r="B10" t="s">
        <v>4</v>
      </c>
      <c r="C10">
        <v>255</v>
      </c>
      <c r="D10" t="s">
        <v>5</v>
      </c>
    </row>
    <row r="11" spans="1:4" hidden="1" x14ac:dyDescent="0.3">
      <c r="A11">
        <v>2001</v>
      </c>
      <c r="B11" t="s">
        <v>6</v>
      </c>
      <c r="C11" t="s">
        <v>9</v>
      </c>
      <c r="D11" t="s">
        <v>5</v>
      </c>
    </row>
    <row r="12" spans="1:4" hidden="1" x14ac:dyDescent="0.3">
      <c r="A12">
        <v>2001</v>
      </c>
      <c r="B12" t="s">
        <v>7</v>
      </c>
      <c r="C12">
        <v>1.3026663952778299</v>
      </c>
      <c r="D12" t="s">
        <v>5</v>
      </c>
    </row>
    <row r="13" spans="1:4" hidden="1" x14ac:dyDescent="0.3">
      <c r="A13">
        <v>2001</v>
      </c>
      <c r="B13" t="s">
        <v>8</v>
      </c>
      <c r="C13" t="s">
        <v>9</v>
      </c>
      <c r="D13" t="s">
        <v>5</v>
      </c>
    </row>
    <row r="14" spans="1:4" hidden="1" x14ac:dyDescent="0.3">
      <c r="A14">
        <v>2004</v>
      </c>
      <c r="B14" t="s">
        <v>4</v>
      </c>
      <c r="C14">
        <v>183.5</v>
      </c>
      <c r="D14" t="s">
        <v>5</v>
      </c>
    </row>
    <row r="15" spans="1:4" hidden="1" x14ac:dyDescent="0.3">
      <c r="A15">
        <v>2004</v>
      </c>
      <c r="B15" t="s">
        <v>6</v>
      </c>
      <c r="C15">
        <v>4.94974746830583</v>
      </c>
      <c r="D15" t="s">
        <v>5</v>
      </c>
    </row>
    <row r="16" spans="1:4" hidden="1" x14ac:dyDescent="0.3">
      <c r="A16">
        <v>2004</v>
      </c>
      <c r="B16" t="s">
        <v>7</v>
      </c>
      <c r="C16">
        <v>1.2329166961629801</v>
      </c>
      <c r="D16" t="s">
        <v>5</v>
      </c>
    </row>
    <row r="17" spans="1:4" hidden="1" x14ac:dyDescent="0.3">
      <c r="A17">
        <v>2004</v>
      </c>
      <c r="B17" t="s">
        <v>8</v>
      </c>
      <c r="C17">
        <v>9.4661658371077997E-2</v>
      </c>
      <c r="D17" t="s">
        <v>5</v>
      </c>
    </row>
    <row r="18" spans="1:4" hidden="1" x14ac:dyDescent="0.3">
      <c r="A18">
        <v>2005</v>
      </c>
      <c r="B18" t="s">
        <v>4</v>
      </c>
      <c r="C18">
        <v>219.5</v>
      </c>
      <c r="D18" t="s">
        <v>5</v>
      </c>
    </row>
    <row r="19" spans="1:4" hidden="1" x14ac:dyDescent="0.3">
      <c r="A19">
        <v>2005</v>
      </c>
      <c r="B19" t="s">
        <v>6</v>
      </c>
      <c r="C19">
        <v>22.792542640082999</v>
      </c>
      <c r="D19" t="s">
        <v>5</v>
      </c>
    </row>
    <row r="20" spans="1:4" hidden="1" x14ac:dyDescent="0.3">
      <c r="A20">
        <v>2005</v>
      </c>
      <c r="B20" t="s">
        <v>7</v>
      </c>
      <c r="C20">
        <v>1.2074540655866</v>
      </c>
      <c r="D20" t="s">
        <v>5</v>
      </c>
    </row>
    <row r="21" spans="1:4" hidden="1" x14ac:dyDescent="0.3">
      <c r="A21">
        <v>2005</v>
      </c>
      <c r="B21" t="s">
        <v>8</v>
      </c>
      <c r="C21">
        <v>8.7191472744550094E-2</v>
      </c>
      <c r="D21" t="s">
        <v>5</v>
      </c>
    </row>
    <row r="22" spans="1:4" hidden="1" x14ac:dyDescent="0.3">
      <c r="A22">
        <v>2006</v>
      </c>
      <c r="B22" t="s">
        <v>4</v>
      </c>
      <c r="C22">
        <v>188.333333333333</v>
      </c>
      <c r="D22" t="s">
        <v>5</v>
      </c>
    </row>
    <row r="23" spans="1:4" hidden="1" x14ac:dyDescent="0.3">
      <c r="A23">
        <v>2006</v>
      </c>
      <c r="B23" t="s">
        <v>6</v>
      </c>
      <c r="C23">
        <v>10.5577775439089</v>
      </c>
      <c r="D23" t="s">
        <v>5</v>
      </c>
    </row>
    <row r="24" spans="1:4" hidden="1" x14ac:dyDescent="0.3">
      <c r="A24">
        <v>2006</v>
      </c>
      <c r="B24" t="s">
        <v>7</v>
      </c>
      <c r="C24">
        <v>1.2617898728860499</v>
      </c>
      <c r="D24" t="s">
        <v>5</v>
      </c>
    </row>
    <row r="25" spans="1:4" hidden="1" x14ac:dyDescent="0.3">
      <c r="A25">
        <v>2006</v>
      </c>
      <c r="B25" t="s">
        <v>8</v>
      </c>
      <c r="C25">
        <v>5.5471648941329499E-2</v>
      </c>
      <c r="D25" t="s">
        <v>5</v>
      </c>
    </row>
    <row r="26" spans="1:4" hidden="1" x14ac:dyDescent="0.3">
      <c r="A26">
        <v>2007</v>
      </c>
      <c r="B26" t="s">
        <v>4</v>
      </c>
      <c r="C26">
        <v>168</v>
      </c>
      <c r="D26" t="s">
        <v>5</v>
      </c>
    </row>
    <row r="27" spans="1:4" hidden="1" x14ac:dyDescent="0.3">
      <c r="A27">
        <v>2007</v>
      </c>
      <c r="B27" t="s">
        <v>6</v>
      </c>
      <c r="C27" t="s">
        <v>9</v>
      </c>
      <c r="D27" t="s">
        <v>5</v>
      </c>
    </row>
    <row r="28" spans="1:4" hidden="1" x14ac:dyDescent="0.3">
      <c r="A28">
        <v>2007</v>
      </c>
      <c r="B28" t="s">
        <v>7</v>
      </c>
      <c r="C28">
        <v>1.13884839650146</v>
      </c>
      <c r="D28" t="s">
        <v>5</v>
      </c>
    </row>
    <row r="29" spans="1:4" hidden="1" x14ac:dyDescent="0.3">
      <c r="A29">
        <v>2007</v>
      </c>
      <c r="B29" t="s">
        <v>8</v>
      </c>
      <c r="C29" t="s">
        <v>9</v>
      </c>
      <c r="D29" t="s">
        <v>5</v>
      </c>
    </row>
    <row r="30" spans="1:4" hidden="1" x14ac:dyDescent="0.3">
      <c r="A30">
        <v>2008</v>
      </c>
      <c r="B30" t="s">
        <v>4</v>
      </c>
      <c r="C30">
        <v>187.5</v>
      </c>
      <c r="D30" t="s">
        <v>5</v>
      </c>
    </row>
    <row r="31" spans="1:4" hidden="1" x14ac:dyDescent="0.3">
      <c r="A31">
        <v>2008</v>
      </c>
      <c r="B31" t="s">
        <v>6</v>
      </c>
      <c r="C31">
        <v>8.8881944173155905</v>
      </c>
      <c r="D31" t="s">
        <v>5</v>
      </c>
    </row>
    <row r="32" spans="1:4" hidden="1" x14ac:dyDescent="0.3">
      <c r="A32">
        <v>2008</v>
      </c>
      <c r="B32" t="s">
        <v>7</v>
      </c>
      <c r="C32">
        <v>1.2209009140701701</v>
      </c>
      <c r="D32" t="s">
        <v>5</v>
      </c>
    </row>
    <row r="33" spans="1:4" hidden="1" x14ac:dyDescent="0.3">
      <c r="A33">
        <v>2008</v>
      </c>
      <c r="B33" t="s">
        <v>8</v>
      </c>
      <c r="C33">
        <v>7.4598848779322893E-2</v>
      </c>
      <c r="D33" t="s">
        <v>5</v>
      </c>
    </row>
    <row r="34" spans="1:4" hidden="1" x14ac:dyDescent="0.3">
      <c r="A34">
        <v>2009</v>
      </c>
      <c r="B34" t="s">
        <v>4</v>
      </c>
      <c r="C34">
        <v>185.333333333333</v>
      </c>
      <c r="D34" t="s">
        <v>5</v>
      </c>
    </row>
    <row r="35" spans="1:4" hidden="1" x14ac:dyDescent="0.3">
      <c r="A35">
        <v>2009</v>
      </c>
      <c r="B35" t="s">
        <v>6</v>
      </c>
      <c r="C35">
        <v>11.021191708098801</v>
      </c>
      <c r="D35" t="s">
        <v>5</v>
      </c>
    </row>
    <row r="36" spans="1:4" hidden="1" x14ac:dyDescent="0.3">
      <c r="A36">
        <v>2009</v>
      </c>
      <c r="B36" t="s">
        <v>7</v>
      </c>
      <c r="C36">
        <v>1.1870531126145001</v>
      </c>
      <c r="D36" t="s">
        <v>5</v>
      </c>
    </row>
    <row r="37" spans="1:4" hidden="1" x14ac:dyDescent="0.3">
      <c r="A37">
        <v>2009</v>
      </c>
      <c r="B37" t="s">
        <v>8</v>
      </c>
      <c r="C37">
        <v>4.8420662141823598E-2</v>
      </c>
      <c r="D37" t="s">
        <v>5</v>
      </c>
    </row>
    <row r="38" spans="1:4" hidden="1" x14ac:dyDescent="0.3">
      <c r="A38">
        <v>2010</v>
      </c>
      <c r="B38" t="s">
        <v>4</v>
      </c>
      <c r="C38">
        <v>178.5</v>
      </c>
      <c r="D38" t="s">
        <v>5</v>
      </c>
    </row>
    <row r="39" spans="1:4" hidden="1" x14ac:dyDescent="0.3">
      <c r="A39">
        <v>2010</v>
      </c>
      <c r="B39" t="s">
        <v>6</v>
      </c>
      <c r="C39">
        <v>15.371587890836601</v>
      </c>
      <c r="D39" t="s">
        <v>5</v>
      </c>
    </row>
    <row r="40" spans="1:4" hidden="1" x14ac:dyDescent="0.3">
      <c r="A40">
        <v>2010</v>
      </c>
      <c r="B40" t="s">
        <v>7</v>
      </c>
      <c r="C40">
        <v>1.2928388060663301</v>
      </c>
      <c r="D40" t="s">
        <v>5</v>
      </c>
    </row>
    <row r="41" spans="1:4" hidden="1" x14ac:dyDescent="0.3">
      <c r="A41">
        <v>2010</v>
      </c>
      <c r="B41" t="s">
        <v>8</v>
      </c>
      <c r="C41">
        <v>0.14172611034447199</v>
      </c>
      <c r="D41" t="s">
        <v>5</v>
      </c>
    </row>
    <row r="42" spans="1:4" hidden="1" x14ac:dyDescent="0.3">
      <c r="A42">
        <v>2011</v>
      </c>
      <c r="B42" t="s">
        <v>4</v>
      </c>
      <c r="C42">
        <v>208.142857142857</v>
      </c>
      <c r="D42" t="s">
        <v>5</v>
      </c>
    </row>
    <row r="43" spans="1:4" hidden="1" x14ac:dyDescent="0.3">
      <c r="A43">
        <v>2011</v>
      </c>
      <c r="B43" t="s">
        <v>6</v>
      </c>
      <c r="C43">
        <v>25.484822747592201</v>
      </c>
      <c r="D43" t="s">
        <v>5</v>
      </c>
    </row>
    <row r="44" spans="1:4" hidden="1" x14ac:dyDescent="0.3">
      <c r="A44">
        <v>2011</v>
      </c>
      <c r="B44" t="s">
        <v>7</v>
      </c>
      <c r="C44">
        <v>1.1487693959409</v>
      </c>
      <c r="D44" t="s">
        <v>5</v>
      </c>
    </row>
    <row r="45" spans="1:4" hidden="1" x14ac:dyDescent="0.3">
      <c r="A45">
        <v>2011</v>
      </c>
      <c r="B45" t="s">
        <v>8</v>
      </c>
      <c r="C45">
        <v>4.9485108475150502E-2</v>
      </c>
      <c r="D45" t="s">
        <v>5</v>
      </c>
    </row>
    <row r="46" spans="1:4" hidden="1" x14ac:dyDescent="0.3">
      <c r="A46">
        <v>2012</v>
      </c>
      <c r="B46" t="s">
        <v>4</v>
      </c>
      <c r="C46">
        <v>221.18181818181799</v>
      </c>
      <c r="D46" t="s">
        <v>5</v>
      </c>
    </row>
    <row r="47" spans="1:4" hidden="1" x14ac:dyDescent="0.3">
      <c r="A47">
        <v>2012</v>
      </c>
      <c r="B47" t="s">
        <v>6</v>
      </c>
      <c r="C47">
        <v>22.377748688454702</v>
      </c>
      <c r="D47" t="s">
        <v>5</v>
      </c>
    </row>
    <row r="48" spans="1:4" hidden="1" x14ac:dyDescent="0.3">
      <c r="A48">
        <v>2012</v>
      </c>
      <c r="B48" t="s">
        <v>7</v>
      </c>
      <c r="C48">
        <v>1.22216755522103</v>
      </c>
      <c r="D48" t="s">
        <v>5</v>
      </c>
    </row>
    <row r="49" spans="1:4" hidden="1" x14ac:dyDescent="0.3">
      <c r="A49">
        <v>2012</v>
      </c>
      <c r="B49" t="s">
        <v>8</v>
      </c>
      <c r="C49">
        <v>6.3357095888847206E-2</v>
      </c>
      <c r="D49" t="s">
        <v>5</v>
      </c>
    </row>
    <row r="50" spans="1:4" hidden="1" x14ac:dyDescent="0.3">
      <c r="A50">
        <v>2013</v>
      </c>
      <c r="B50" t="s">
        <v>4</v>
      </c>
      <c r="C50">
        <v>225.78571428571399</v>
      </c>
      <c r="D50" t="s">
        <v>5</v>
      </c>
    </row>
    <row r="51" spans="1:4" hidden="1" x14ac:dyDescent="0.3">
      <c r="A51">
        <v>2013</v>
      </c>
      <c r="B51" t="s">
        <v>6</v>
      </c>
      <c r="C51">
        <v>24.303145005181101</v>
      </c>
      <c r="D51" t="s">
        <v>5</v>
      </c>
    </row>
    <row r="52" spans="1:4" hidden="1" x14ac:dyDescent="0.3">
      <c r="A52">
        <v>2013</v>
      </c>
      <c r="B52" t="s">
        <v>7</v>
      </c>
      <c r="C52">
        <v>1.268711275801</v>
      </c>
      <c r="D52" t="s">
        <v>5</v>
      </c>
    </row>
    <row r="53" spans="1:4" hidden="1" x14ac:dyDescent="0.3">
      <c r="A53">
        <v>2013</v>
      </c>
      <c r="B53" t="s">
        <v>8</v>
      </c>
      <c r="C53">
        <v>9.6239574619001594E-2</v>
      </c>
      <c r="D53" t="s">
        <v>5</v>
      </c>
    </row>
    <row r="54" spans="1:4" hidden="1" x14ac:dyDescent="0.3">
      <c r="A54">
        <v>2015</v>
      </c>
      <c r="B54" t="s">
        <v>4</v>
      </c>
      <c r="C54">
        <v>227.96551724137899</v>
      </c>
      <c r="D54" t="s">
        <v>5</v>
      </c>
    </row>
    <row r="55" spans="1:4" hidden="1" x14ac:dyDescent="0.3">
      <c r="A55">
        <v>2015</v>
      </c>
      <c r="B55" t="s">
        <v>6</v>
      </c>
      <c r="C55">
        <v>19.907792369932299</v>
      </c>
      <c r="D55" t="s">
        <v>5</v>
      </c>
    </row>
    <row r="56" spans="1:4" hidden="1" x14ac:dyDescent="0.3">
      <c r="A56">
        <v>2015</v>
      </c>
      <c r="B56" t="s">
        <v>7</v>
      </c>
      <c r="C56">
        <v>1.1570915355873099</v>
      </c>
      <c r="D56" t="s">
        <v>5</v>
      </c>
    </row>
    <row r="57" spans="1:4" hidden="1" x14ac:dyDescent="0.3">
      <c r="A57">
        <v>2015</v>
      </c>
      <c r="B57" t="s">
        <v>8</v>
      </c>
      <c r="C57">
        <v>0.101553606487193</v>
      </c>
      <c r="D57" t="s">
        <v>5</v>
      </c>
    </row>
    <row r="58" spans="1:4" hidden="1" x14ac:dyDescent="0.3">
      <c r="A58">
        <v>2017</v>
      </c>
      <c r="B58" t="s">
        <v>4</v>
      </c>
      <c r="C58">
        <v>260.3</v>
      </c>
      <c r="D58" t="s">
        <v>5</v>
      </c>
    </row>
    <row r="59" spans="1:4" hidden="1" x14ac:dyDescent="0.3">
      <c r="A59">
        <v>2017</v>
      </c>
      <c r="B59" t="s">
        <v>6</v>
      </c>
      <c r="C59">
        <v>28.940744058621998</v>
      </c>
      <c r="D59" t="s">
        <v>5</v>
      </c>
    </row>
    <row r="60" spans="1:4" hidden="1" x14ac:dyDescent="0.3">
      <c r="A60">
        <v>2017</v>
      </c>
      <c r="B60" t="s">
        <v>7</v>
      </c>
      <c r="C60" t="s">
        <v>9</v>
      </c>
      <c r="D60" t="s">
        <v>5</v>
      </c>
    </row>
    <row r="61" spans="1:4" hidden="1" x14ac:dyDescent="0.3">
      <c r="A61">
        <v>2017</v>
      </c>
      <c r="B61" t="s">
        <v>8</v>
      </c>
      <c r="C61" t="s">
        <v>9</v>
      </c>
      <c r="D61" t="s">
        <v>5</v>
      </c>
    </row>
    <row r="62" spans="1:4" hidden="1" x14ac:dyDescent="0.3">
      <c r="A62">
        <v>2018</v>
      </c>
      <c r="B62" t="s">
        <v>4</v>
      </c>
      <c r="C62">
        <v>231.636363636364</v>
      </c>
      <c r="D62" t="s">
        <v>5</v>
      </c>
    </row>
    <row r="63" spans="1:4" hidden="1" x14ac:dyDescent="0.3">
      <c r="A63">
        <v>2018</v>
      </c>
      <c r="B63" t="s">
        <v>6</v>
      </c>
      <c r="C63">
        <v>32.081997217357703</v>
      </c>
      <c r="D63" t="s">
        <v>5</v>
      </c>
    </row>
    <row r="64" spans="1:4" hidden="1" x14ac:dyDescent="0.3">
      <c r="A64">
        <v>2018</v>
      </c>
      <c r="B64" t="s">
        <v>7</v>
      </c>
      <c r="C64">
        <v>1.3077071688231801</v>
      </c>
      <c r="D64" t="s">
        <v>5</v>
      </c>
    </row>
    <row r="65" spans="1:4" hidden="1" x14ac:dyDescent="0.3">
      <c r="A65">
        <v>2018</v>
      </c>
      <c r="B65" t="s">
        <v>8</v>
      </c>
      <c r="C65">
        <v>8.3633941693717198E-2</v>
      </c>
      <c r="D65" t="s">
        <v>5</v>
      </c>
    </row>
    <row r="66" spans="1:4" hidden="1" x14ac:dyDescent="0.3">
      <c r="A66">
        <v>2019</v>
      </c>
      <c r="B66" t="s">
        <v>4</v>
      </c>
      <c r="C66">
        <v>224.30769230769201</v>
      </c>
      <c r="D66" t="s">
        <v>5</v>
      </c>
    </row>
    <row r="67" spans="1:4" hidden="1" x14ac:dyDescent="0.3">
      <c r="A67">
        <v>2019</v>
      </c>
      <c r="B67" t="s">
        <v>6</v>
      </c>
      <c r="C67">
        <v>32.894742780026498</v>
      </c>
      <c r="D67" t="s">
        <v>5</v>
      </c>
    </row>
    <row r="68" spans="1:4" hidden="1" x14ac:dyDescent="0.3">
      <c r="A68">
        <v>2019</v>
      </c>
      <c r="B68" t="s">
        <v>7</v>
      </c>
      <c r="C68">
        <v>1.2921573408701399</v>
      </c>
      <c r="D68" t="s">
        <v>5</v>
      </c>
    </row>
    <row r="69" spans="1:4" hidden="1" x14ac:dyDescent="0.3">
      <c r="A69">
        <v>2019</v>
      </c>
      <c r="B69" t="s">
        <v>8</v>
      </c>
      <c r="C69">
        <v>8.5314552507215202E-2</v>
      </c>
      <c r="D69" t="s">
        <v>5</v>
      </c>
    </row>
    <row r="70" spans="1:4" hidden="1" x14ac:dyDescent="0.3">
      <c r="A70">
        <v>1999</v>
      </c>
      <c r="B70" t="s">
        <v>10</v>
      </c>
      <c r="C70">
        <v>177.695652173913</v>
      </c>
      <c r="D70" t="s">
        <v>5</v>
      </c>
    </row>
    <row r="71" spans="1:4" x14ac:dyDescent="0.3">
      <c r="A71">
        <v>1999</v>
      </c>
      <c r="B71" t="s">
        <v>11</v>
      </c>
      <c r="C71">
        <v>14.354076971080399</v>
      </c>
      <c r="D71" t="s">
        <v>5</v>
      </c>
    </row>
    <row r="72" spans="1:4" hidden="1" x14ac:dyDescent="0.3">
      <c r="A72">
        <v>1999</v>
      </c>
      <c r="B72" t="s">
        <v>12</v>
      </c>
      <c r="C72">
        <v>1.19955058241849</v>
      </c>
      <c r="D72" t="s">
        <v>5</v>
      </c>
    </row>
    <row r="73" spans="1:4" hidden="1" x14ac:dyDescent="0.3">
      <c r="A73">
        <v>1999</v>
      </c>
      <c r="B73" t="s">
        <v>13</v>
      </c>
      <c r="C73">
        <v>0.110968689582367</v>
      </c>
      <c r="D73" t="s">
        <v>5</v>
      </c>
    </row>
    <row r="74" spans="1:4" hidden="1" x14ac:dyDescent="0.3">
      <c r="A74">
        <v>2000</v>
      </c>
      <c r="B74" t="s">
        <v>10</v>
      </c>
      <c r="C74">
        <v>193.136363636364</v>
      </c>
      <c r="D74" t="s">
        <v>5</v>
      </c>
    </row>
    <row r="75" spans="1:4" x14ac:dyDescent="0.3">
      <c r="A75">
        <v>2000</v>
      </c>
      <c r="B75" t="s">
        <v>11</v>
      </c>
      <c r="C75">
        <v>11.671273054753501</v>
      </c>
      <c r="D75" t="s">
        <v>5</v>
      </c>
    </row>
    <row r="76" spans="1:4" hidden="1" x14ac:dyDescent="0.3">
      <c r="A76">
        <v>2000</v>
      </c>
      <c r="B76" t="s">
        <v>12</v>
      </c>
      <c r="C76">
        <v>1.2207937849694599</v>
      </c>
      <c r="D76" t="s">
        <v>5</v>
      </c>
    </row>
    <row r="77" spans="1:4" hidden="1" x14ac:dyDescent="0.3">
      <c r="A77">
        <v>2000</v>
      </c>
      <c r="B77" t="s">
        <v>13</v>
      </c>
      <c r="C77">
        <v>0.101511137172178</v>
      </c>
      <c r="D77" t="s">
        <v>5</v>
      </c>
    </row>
    <row r="78" spans="1:4" hidden="1" x14ac:dyDescent="0.3">
      <c r="A78">
        <v>2001</v>
      </c>
      <c r="B78" t="s">
        <v>10</v>
      </c>
      <c r="C78">
        <v>179.25</v>
      </c>
      <c r="D78" t="s">
        <v>5</v>
      </c>
    </row>
    <row r="79" spans="1:4" x14ac:dyDescent="0.3">
      <c r="A79">
        <v>2001</v>
      </c>
      <c r="B79" t="s">
        <v>11</v>
      </c>
      <c r="C79">
        <v>3.0956959368344501</v>
      </c>
      <c r="D79" t="s">
        <v>5</v>
      </c>
    </row>
    <row r="80" spans="1:4" hidden="1" x14ac:dyDescent="0.3">
      <c r="A80">
        <v>2001</v>
      </c>
      <c r="B80" t="s">
        <v>12</v>
      </c>
      <c r="C80" t="s">
        <v>9</v>
      </c>
      <c r="D80" t="s">
        <v>5</v>
      </c>
    </row>
    <row r="81" spans="1:4" hidden="1" x14ac:dyDescent="0.3">
      <c r="A81">
        <v>2001</v>
      </c>
      <c r="B81" t="s">
        <v>13</v>
      </c>
      <c r="C81" t="s">
        <v>9</v>
      </c>
      <c r="D81" t="s">
        <v>5</v>
      </c>
    </row>
    <row r="82" spans="1:4" hidden="1" x14ac:dyDescent="0.3">
      <c r="A82">
        <v>2002</v>
      </c>
      <c r="B82" t="s">
        <v>10</v>
      </c>
      <c r="C82">
        <v>178</v>
      </c>
      <c r="D82" t="s">
        <v>5</v>
      </c>
    </row>
    <row r="83" spans="1:4" x14ac:dyDescent="0.3">
      <c r="A83">
        <v>2002</v>
      </c>
      <c r="B83" t="s">
        <v>11</v>
      </c>
      <c r="C83">
        <v>6.2609903369994102</v>
      </c>
      <c r="D83" t="s">
        <v>5</v>
      </c>
    </row>
    <row r="84" spans="1:4" hidden="1" x14ac:dyDescent="0.3">
      <c r="A84">
        <v>2002</v>
      </c>
      <c r="B84" t="s">
        <v>12</v>
      </c>
      <c r="C84" t="s">
        <v>9</v>
      </c>
      <c r="D84" t="s">
        <v>5</v>
      </c>
    </row>
    <row r="85" spans="1:4" hidden="1" x14ac:dyDescent="0.3">
      <c r="A85">
        <v>2002</v>
      </c>
      <c r="B85" t="s">
        <v>13</v>
      </c>
      <c r="C85" t="s">
        <v>9</v>
      </c>
      <c r="D85" t="s">
        <v>5</v>
      </c>
    </row>
    <row r="86" spans="1:4" hidden="1" x14ac:dyDescent="0.3">
      <c r="A86">
        <v>2003</v>
      </c>
      <c r="B86" t="s">
        <v>10</v>
      </c>
      <c r="C86">
        <v>174.5</v>
      </c>
      <c r="D86" t="s">
        <v>5</v>
      </c>
    </row>
    <row r="87" spans="1:4" x14ac:dyDescent="0.3">
      <c r="A87">
        <v>2003</v>
      </c>
      <c r="B87" t="s">
        <v>11</v>
      </c>
      <c r="C87">
        <v>12.6761275840185</v>
      </c>
      <c r="D87" t="s">
        <v>5</v>
      </c>
    </row>
    <row r="88" spans="1:4" hidden="1" x14ac:dyDescent="0.3">
      <c r="A88">
        <v>2003</v>
      </c>
      <c r="B88" t="s">
        <v>12</v>
      </c>
      <c r="C88">
        <v>1.2707356345256</v>
      </c>
      <c r="D88" t="s">
        <v>5</v>
      </c>
    </row>
    <row r="89" spans="1:4" hidden="1" x14ac:dyDescent="0.3">
      <c r="A89">
        <v>2003</v>
      </c>
      <c r="B89" t="s">
        <v>13</v>
      </c>
      <c r="C89">
        <v>0.203801901355672</v>
      </c>
      <c r="D89" t="s">
        <v>5</v>
      </c>
    </row>
    <row r="90" spans="1:4" hidden="1" x14ac:dyDescent="0.3">
      <c r="A90">
        <v>2004</v>
      </c>
      <c r="B90" t="s">
        <v>10</v>
      </c>
      <c r="C90">
        <v>174.52</v>
      </c>
      <c r="D90" t="s">
        <v>5</v>
      </c>
    </row>
    <row r="91" spans="1:4" x14ac:dyDescent="0.3">
      <c r="A91">
        <v>2004</v>
      </c>
      <c r="B91" t="s">
        <v>11</v>
      </c>
      <c r="C91">
        <v>10.797839290030799</v>
      </c>
      <c r="D91" t="s">
        <v>5</v>
      </c>
    </row>
    <row r="92" spans="1:4" hidden="1" x14ac:dyDescent="0.3">
      <c r="A92">
        <v>2004</v>
      </c>
      <c r="B92" t="s">
        <v>12</v>
      </c>
      <c r="C92">
        <v>1.17719805707391</v>
      </c>
      <c r="D92" t="s">
        <v>5</v>
      </c>
    </row>
    <row r="93" spans="1:4" hidden="1" x14ac:dyDescent="0.3">
      <c r="A93">
        <v>2004</v>
      </c>
      <c r="B93" t="s">
        <v>13</v>
      </c>
      <c r="C93">
        <v>8.0444622397211604E-2</v>
      </c>
      <c r="D93" t="s">
        <v>5</v>
      </c>
    </row>
    <row r="94" spans="1:4" hidden="1" x14ac:dyDescent="0.3">
      <c r="A94">
        <v>2006</v>
      </c>
      <c r="B94" t="s">
        <v>10</v>
      </c>
      <c r="C94">
        <v>177.5</v>
      </c>
      <c r="D94" t="s">
        <v>5</v>
      </c>
    </row>
    <row r="95" spans="1:4" x14ac:dyDescent="0.3">
      <c r="A95">
        <v>2006</v>
      </c>
      <c r="B95" t="s">
        <v>11</v>
      </c>
      <c r="C95">
        <v>9.9067076843347497</v>
      </c>
      <c r="D95" t="s">
        <v>5</v>
      </c>
    </row>
    <row r="96" spans="1:4" hidden="1" x14ac:dyDescent="0.3">
      <c r="A96">
        <v>2006</v>
      </c>
      <c r="B96" t="s">
        <v>12</v>
      </c>
      <c r="C96">
        <v>1.1919850811218</v>
      </c>
      <c r="D96" t="s">
        <v>5</v>
      </c>
    </row>
    <row r="97" spans="1:4" hidden="1" x14ac:dyDescent="0.3">
      <c r="A97">
        <v>2006</v>
      </c>
      <c r="B97" t="s">
        <v>13</v>
      </c>
      <c r="C97">
        <v>8.6735169283429406E-2</v>
      </c>
      <c r="D97" t="s">
        <v>5</v>
      </c>
    </row>
    <row r="98" spans="1:4" hidden="1" x14ac:dyDescent="0.3">
      <c r="A98">
        <v>2007</v>
      </c>
      <c r="B98" t="s">
        <v>10</v>
      </c>
      <c r="C98">
        <v>183.49019607843101</v>
      </c>
      <c r="D98" t="s">
        <v>5</v>
      </c>
    </row>
    <row r="99" spans="1:4" x14ac:dyDescent="0.3">
      <c r="A99">
        <v>2007</v>
      </c>
      <c r="B99" t="s">
        <v>11</v>
      </c>
      <c r="C99">
        <v>19.1565889959769</v>
      </c>
      <c r="D99" t="s">
        <v>5</v>
      </c>
    </row>
    <row r="100" spans="1:4" hidden="1" x14ac:dyDescent="0.3">
      <c r="A100">
        <v>2007</v>
      </c>
      <c r="B100" t="s">
        <v>12</v>
      </c>
      <c r="C100">
        <v>1.15623861964543</v>
      </c>
      <c r="D100" t="s">
        <v>5</v>
      </c>
    </row>
    <row r="101" spans="1:4" hidden="1" x14ac:dyDescent="0.3">
      <c r="A101">
        <v>2007</v>
      </c>
      <c r="B101" t="s">
        <v>13</v>
      </c>
      <c r="C101">
        <v>6.8719872227118201E-2</v>
      </c>
      <c r="D101" t="s">
        <v>5</v>
      </c>
    </row>
    <row r="102" spans="1:4" hidden="1" x14ac:dyDescent="0.3">
      <c r="A102">
        <v>2008</v>
      </c>
      <c r="B102" t="s">
        <v>10</v>
      </c>
      <c r="C102">
        <v>185.12595419847301</v>
      </c>
      <c r="D102" t="s">
        <v>5</v>
      </c>
    </row>
    <row r="103" spans="1:4" x14ac:dyDescent="0.3">
      <c r="A103">
        <v>2008</v>
      </c>
      <c r="B103" t="s">
        <v>11</v>
      </c>
      <c r="C103">
        <v>9.5501987926292493</v>
      </c>
      <c r="D103" t="s">
        <v>5</v>
      </c>
    </row>
    <row r="104" spans="1:4" hidden="1" x14ac:dyDescent="0.3">
      <c r="A104">
        <v>2008</v>
      </c>
      <c r="B104" t="s">
        <v>12</v>
      </c>
      <c r="C104">
        <v>1.18879482972329</v>
      </c>
      <c r="D104" t="s">
        <v>5</v>
      </c>
    </row>
    <row r="105" spans="1:4" hidden="1" x14ac:dyDescent="0.3">
      <c r="A105">
        <v>2008</v>
      </c>
      <c r="B105" t="s">
        <v>13</v>
      </c>
      <c r="C105">
        <v>7.2523703484187199E-2</v>
      </c>
      <c r="D105" t="s">
        <v>5</v>
      </c>
    </row>
    <row r="106" spans="1:4" hidden="1" x14ac:dyDescent="0.3">
      <c r="A106">
        <v>2009</v>
      </c>
      <c r="B106" t="s">
        <v>10</v>
      </c>
      <c r="C106">
        <v>179.56730769230799</v>
      </c>
      <c r="D106" t="s">
        <v>5</v>
      </c>
    </row>
    <row r="107" spans="1:4" x14ac:dyDescent="0.3">
      <c r="A107">
        <v>2009</v>
      </c>
      <c r="B107" t="s">
        <v>11</v>
      </c>
      <c r="C107">
        <v>12.941814838803801</v>
      </c>
      <c r="D107" t="s">
        <v>5</v>
      </c>
    </row>
    <row r="108" spans="1:4" hidden="1" x14ac:dyDescent="0.3">
      <c r="A108">
        <v>2009</v>
      </c>
      <c r="B108" t="s">
        <v>12</v>
      </c>
      <c r="C108">
        <v>1.1685101081843601</v>
      </c>
      <c r="D108" t="s">
        <v>5</v>
      </c>
    </row>
    <row r="109" spans="1:4" hidden="1" x14ac:dyDescent="0.3">
      <c r="A109">
        <v>2009</v>
      </c>
      <c r="B109" t="s">
        <v>13</v>
      </c>
      <c r="C109">
        <v>7.5954861302400395E-2</v>
      </c>
      <c r="D109" t="s">
        <v>5</v>
      </c>
    </row>
    <row r="110" spans="1:4" hidden="1" x14ac:dyDescent="0.3">
      <c r="A110">
        <v>2010</v>
      </c>
      <c r="B110" t="s">
        <v>10</v>
      </c>
      <c r="C110">
        <v>175.171232876712</v>
      </c>
      <c r="D110" t="s">
        <v>5</v>
      </c>
    </row>
    <row r="111" spans="1:4" x14ac:dyDescent="0.3">
      <c r="A111">
        <v>2010</v>
      </c>
      <c r="B111" t="s">
        <v>11</v>
      </c>
      <c r="C111">
        <v>10.663091089031401</v>
      </c>
      <c r="D111" t="s">
        <v>5</v>
      </c>
    </row>
    <row r="112" spans="1:4" hidden="1" x14ac:dyDescent="0.3">
      <c r="A112">
        <v>2010</v>
      </c>
      <c r="B112" t="s">
        <v>12</v>
      </c>
      <c r="C112" t="s">
        <v>9</v>
      </c>
      <c r="D112" t="s">
        <v>5</v>
      </c>
    </row>
    <row r="113" spans="1:4" hidden="1" x14ac:dyDescent="0.3">
      <c r="A113">
        <v>2010</v>
      </c>
      <c r="B113" t="s">
        <v>13</v>
      </c>
      <c r="C113" t="s">
        <v>9</v>
      </c>
      <c r="D113" t="s">
        <v>5</v>
      </c>
    </row>
    <row r="114" spans="1:4" hidden="1" x14ac:dyDescent="0.3">
      <c r="A114">
        <v>2011</v>
      </c>
      <c r="B114" t="s">
        <v>10</v>
      </c>
      <c r="C114">
        <v>180.10975609756099</v>
      </c>
      <c r="D114" t="s">
        <v>5</v>
      </c>
    </row>
    <row r="115" spans="1:4" x14ac:dyDescent="0.3">
      <c r="A115">
        <v>2011</v>
      </c>
      <c r="B115" t="s">
        <v>11</v>
      </c>
      <c r="C115">
        <v>14.475186173399999</v>
      </c>
      <c r="D115" t="s">
        <v>5</v>
      </c>
    </row>
    <row r="116" spans="1:4" hidden="1" x14ac:dyDescent="0.3">
      <c r="A116">
        <v>2011</v>
      </c>
      <c r="B116" t="s">
        <v>12</v>
      </c>
      <c r="C116">
        <v>1.16569812992391</v>
      </c>
      <c r="D116" t="s">
        <v>5</v>
      </c>
    </row>
    <row r="117" spans="1:4" hidden="1" x14ac:dyDescent="0.3">
      <c r="A117">
        <v>2011</v>
      </c>
      <c r="B117" t="s">
        <v>13</v>
      </c>
      <c r="C117">
        <v>8.4815030436165395E-2</v>
      </c>
      <c r="D117" t="s">
        <v>5</v>
      </c>
    </row>
    <row r="118" spans="1:4" hidden="1" x14ac:dyDescent="0.3">
      <c r="A118">
        <v>2012</v>
      </c>
      <c r="B118" t="s">
        <v>10</v>
      </c>
      <c r="C118">
        <v>191.344398340249</v>
      </c>
      <c r="D118" t="s">
        <v>5</v>
      </c>
    </row>
    <row r="119" spans="1:4" x14ac:dyDescent="0.3">
      <c r="A119">
        <v>2012</v>
      </c>
      <c r="B119" t="s">
        <v>11</v>
      </c>
      <c r="C119">
        <v>14.8229010512112</v>
      </c>
      <c r="D119" t="s">
        <v>5</v>
      </c>
    </row>
    <row r="120" spans="1:4" hidden="1" x14ac:dyDescent="0.3">
      <c r="A120">
        <v>2012</v>
      </c>
      <c r="B120" t="s">
        <v>12</v>
      </c>
      <c r="C120">
        <v>1.1743855526328899</v>
      </c>
      <c r="D120" t="s">
        <v>5</v>
      </c>
    </row>
    <row r="121" spans="1:4" hidden="1" x14ac:dyDescent="0.3">
      <c r="A121">
        <v>2012</v>
      </c>
      <c r="B121" t="s">
        <v>13</v>
      </c>
      <c r="C121">
        <v>6.5061419336149798E-2</v>
      </c>
      <c r="D121" t="s">
        <v>5</v>
      </c>
    </row>
    <row r="122" spans="1:4" hidden="1" x14ac:dyDescent="0.3">
      <c r="A122">
        <v>2015</v>
      </c>
      <c r="B122" t="s">
        <v>10</v>
      </c>
      <c r="C122">
        <v>195</v>
      </c>
      <c r="D122" t="s">
        <v>5</v>
      </c>
    </row>
    <row r="123" spans="1:4" x14ac:dyDescent="0.3">
      <c r="A123">
        <v>2015</v>
      </c>
      <c r="B123" t="s">
        <v>11</v>
      </c>
      <c r="C123">
        <v>17.111399708966001</v>
      </c>
      <c r="D123" t="s">
        <v>5</v>
      </c>
    </row>
    <row r="124" spans="1:4" hidden="1" x14ac:dyDescent="0.3">
      <c r="A124">
        <v>2015</v>
      </c>
      <c r="B124" t="s">
        <v>12</v>
      </c>
      <c r="C124">
        <v>1.1817641127759899</v>
      </c>
      <c r="D124" t="s">
        <v>5</v>
      </c>
    </row>
    <row r="125" spans="1:4" hidden="1" x14ac:dyDescent="0.3">
      <c r="A125">
        <v>2015</v>
      </c>
      <c r="B125" t="s">
        <v>13</v>
      </c>
      <c r="C125">
        <v>6.8497591813836106E-2</v>
      </c>
      <c r="D125" t="s">
        <v>5</v>
      </c>
    </row>
    <row r="126" spans="1:4" hidden="1" x14ac:dyDescent="0.3">
      <c r="A126">
        <v>2018</v>
      </c>
      <c r="B126" t="s">
        <v>10</v>
      </c>
      <c r="C126">
        <v>176.625</v>
      </c>
      <c r="D126" t="s">
        <v>5</v>
      </c>
    </row>
    <row r="127" spans="1:4" x14ac:dyDescent="0.3">
      <c r="A127">
        <v>2018</v>
      </c>
      <c r="B127" t="s">
        <v>11</v>
      </c>
      <c r="C127">
        <v>7.1101034752365901</v>
      </c>
      <c r="D127" t="s">
        <v>5</v>
      </c>
    </row>
    <row r="128" spans="1:4" hidden="1" x14ac:dyDescent="0.3">
      <c r="A128">
        <v>2018</v>
      </c>
      <c r="B128" t="s">
        <v>12</v>
      </c>
      <c r="C128">
        <v>1.1537089514458301</v>
      </c>
      <c r="D128" t="s">
        <v>5</v>
      </c>
    </row>
    <row r="129" spans="1:4" hidden="1" x14ac:dyDescent="0.3">
      <c r="A129">
        <v>2018</v>
      </c>
      <c r="B129" t="s">
        <v>13</v>
      </c>
      <c r="C129">
        <v>7.5774211139875702E-2</v>
      </c>
      <c r="D129" t="s">
        <v>5</v>
      </c>
    </row>
    <row r="130" spans="1:4" hidden="1" x14ac:dyDescent="0.3">
      <c r="A130">
        <v>1999</v>
      </c>
      <c r="B130" t="s">
        <v>14</v>
      </c>
      <c r="C130">
        <v>172.95</v>
      </c>
      <c r="D130" t="s">
        <v>5</v>
      </c>
    </row>
    <row r="131" spans="1:4" hidden="1" x14ac:dyDescent="0.3">
      <c r="A131">
        <v>1999</v>
      </c>
      <c r="B131" t="s">
        <v>15</v>
      </c>
      <c r="C131">
        <v>20.140232058455101</v>
      </c>
      <c r="D131" t="s">
        <v>5</v>
      </c>
    </row>
    <row r="132" spans="1:4" hidden="1" x14ac:dyDescent="0.3">
      <c r="A132">
        <v>1999</v>
      </c>
      <c r="B132" t="s">
        <v>16</v>
      </c>
      <c r="C132">
        <v>1.2011005339652101</v>
      </c>
      <c r="D132" t="s">
        <v>5</v>
      </c>
    </row>
    <row r="133" spans="1:4" hidden="1" x14ac:dyDescent="0.3">
      <c r="A133">
        <v>1999</v>
      </c>
      <c r="B133" t="s">
        <v>17</v>
      </c>
      <c r="C133">
        <v>7.2602881844095704E-2</v>
      </c>
      <c r="D133" t="s">
        <v>5</v>
      </c>
    </row>
    <row r="134" spans="1:4" hidden="1" x14ac:dyDescent="0.3">
      <c r="A134">
        <v>2000</v>
      </c>
      <c r="B134" t="s">
        <v>14</v>
      </c>
      <c r="C134">
        <v>186.583333333333</v>
      </c>
      <c r="D134" t="s">
        <v>5</v>
      </c>
    </row>
    <row r="135" spans="1:4" hidden="1" x14ac:dyDescent="0.3">
      <c r="A135">
        <v>2000</v>
      </c>
      <c r="B135" t="s">
        <v>15</v>
      </c>
      <c r="C135">
        <v>14.816810682055699</v>
      </c>
      <c r="D135" t="s">
        <v>5</v>
      </c>
    </row>
    <row r="136" spans="1:4" hidden="1" x14ac:dyDescent="0.3">
      <c r="A136">
        <v>2000</v>
      </c>
      <c r="B136" t="s">
        <v>16</v>
      </c>
      <c r="C136">
        <v>1.27435591065965</v>
      </c>
      <c r="D136" t="s">
        <v>5</v>
      </c>
    </row>
    <row r="137" spans="1:4" hidden="1" x14ac:dyDescent="0.3">
      <c r="A137">
        <v>2000</v>
      </c>
      <c r="B137" t="s">
        <v>17</v>
      </c>
      <c r="C137">
        <v>6.9766881768377906E-2</v>
      </c>
      <c r="D137" t="s">
        <v>5</v>
      </c>
    </row>
    <row r="138" spans="1:4" hidden="1" x14ac:dyDescent="0.3">
      <c r="A138">
        <v>2001</v>
      </c>
      <c r="B138" t="s">
        <v>14</v>
      </c>
      <c r="C138">
        <v>181.75</v>
      </c>
      <c r="D138" t="s">
        <v>5</v>
      </c>
    </row>
    <row r="139" spans="1:4" hidden="1" x14ac:dyDescent="0.3">
      <c r="A139">
        <v>2001</v>
      </c>
      <c r="B139" t="s">
        <v>15</v>
      </c>
      <c r="C139">
        <v>10.6871083888153</v>
      </c>
      <c r="D139" t="s">
        <v>5</v>
      </c>
    </row>
    <row r="140" spans="1:4" hidden="1" x14ac:dyDescent="0.3">
      <c r="A140">
        <v>2001</v>
      </c>
      <c r="B140" t="s">
        <v>16</v>
      </c>
      <c r="C140">
        <v>1.1695696451044499</v>
      </c>
      <c r="D140" t="s">
        <v>5</v>
      </c>
    </row>
    <row r="141" spans="1:4" hidden="1" x14ac:dyDescent="0.3">
      <c r="A141">
        <v>2001</v>
      </c>
      <c r="B141" t="s">
        <v>17</v>
      </c>
      <c r="C141">
        <v>5.1689075609168397E-2</v>
      </c>
      <c r="D141" t="s">
        <v>5</v>
      </c>
    </row>
    <row r="142" spans="1:4" hidden="1" x14ac:dyDescent="0.3">
      <c r="A142">
        <v>2002</v>
      </c>
      <c r="B142" t="s">
        <v>14</v>
      </c>
      <c r="C142">
        <v>168.333333333333</v>
      </c>
      <c r="D142" t="s">
        <v>5</v>
      </c>
    </row>
    <row r="143" spans="1:4" hidden="1" x14ac:dyDescent="0.3">
      <c r="A143">
        <v>2002</v>
      </c>
      <c r="B143" t="s">
        <v>15</v>
      </c>
      <c r="C143">
        <v>19.319679086361699</v>
      </c>
      <c r="D143" t="s">
        <v>5</v>
      </c>
    </row>
    <row r="144" spans="1:4" hidden="1" x14ac:dyDescent="0.3">
      <c r="A144">
        <v>2002</v>
      </c>
      <c r="B144" t="s">
        <v>16</v>
      </c>
      <c r="C144" t="s">
        <v>9</v>
      </c>
      <c r="D144" t="s">
        <v>5</v>
      </c>
    </row>
    <row r="145" spans="1:4" hidden="1" x14ac:dyDescent="0.3">
      <c r="A145">
        <v>2002</v>
      </c>
      <c r="B145" t="s">
        <v>17</v>
      </c>
      <c r="C145" t="s">
        <v>9</v>
      </c>
      <c r="D145" t="s">
        <v>5</v>
      </c>
    </row>
    <row r="146" spans="1:4" hidden="1" x14ac:dyDescent="0.3">
      <c r="A146">
        <v>2003</v>
      </c>
      <c r="B146" t="s">
        <v>14</v>
      </c>
      <c r="C146">
        <v>177.5</v>
      </c>
      <c r="D146" t="s">
        <v>5</v>
      </c>
    </row>
    <row r="147" spans="1:4" hidden="1" x14ac:dyDescent="0.3">
      <c r="A147">
        <v>2003</v>
      </c>
      <c r="B147" t="s">
        <v>15</v>
      </c>
      <c r="C147">
        <v>4.9328828623162497</v>
      </c>
      <c r="D147" t="s">
        <v>5</v>
      </c>
    </row>
    <row r="148" spans="1:4" hidden="1" x14ac:dyDescent="0.3">
      <c r="A148">
        <v>2003</v>
      </c>
      <c r="B148" t="s">
        <v>16</v>
      </c>
      <c r="C148">
        <v>1.17288371747249</v>
      </c>
      <c r="D148" t="s">
        <v>5</v>
      </c>
    </row>
    <row r="149" spans="1:4" hidden="1" x14ac:dyDescent="0.3">
      <c r="A149">
        <v>2003</v>
      </c>
      <c r="B149" t="s">
        <v>17</v>
      </c>
      <c r="C149">
        <v>9.9574888599620201E-2</v>
      </c>
      <c r="D149" t="s">
        <v>5</v>
      </c>
    </row>
    <row r="150" spans="1:4" hidden="1" x14ac:dyDescent="0.3">
      <c r="A150">
        <v>2004</v>
      </c>
      <c r="B150" t="s">
        <v>14</v>
      </c>
      <c r="C150">
        <v>164</v>
      </c>
      <c r="D150" t="s">
        <v>5</v>
      </c>
    </row>
    <row r="151" spans="1:4" hidden="1" x14ac:dyDescent="0.3">
      <c r="A151">
        <v>2004</v>
      </c>
      <c r="B151" t="s">
        <v>15</v>
      </c>
      <c r="C151">
        <v>20.808652046684799</v>
      </c>
      <c r="D151" t="s">
        <v>5</v>
      </c>
    </row>
    <row r="152" spans="1:4" hidden="1" x14ac:dyDescent="0.3">
      <c r="A152">
        <v>2004</v>
      </c>
      <c r="B152" t="s">
        <v>16</v>
      </c>
      <c r="C152">
        <v>1.18495375642595</v>
      </c>
      <c r="D152" t="s">
        <v>5</v>
      </c>
    </row>
    <row r="153" spans="1:4" hidden="1" x14ac:dyDescent="0.3">
      <c r="A153">
        <v>2004</v>
      </c>
      <c r="B153" t="s">
        <v>17</v>
      </c>
      <c r="C153">
        <v>0.108016163127265</v>
      </c>
      <c r="D153" t="s">
        <v>5</v>
      </c>
    </row>
    <row r="154" spans="1:4" hidden="1" x14ac:dyDescent="0.3">
      <c r="A154">
        <v>2006</v>
      </c>
      <c r="B154" t="s">
        <v>14</v>
      </c>
      <c r="C154">
        <v>164.42857142857099</v>
      </c>
      <c r="D154" t="s">
        <v>5</v>
      </c>
    </row>
    <row r="155" spans="1:4" hidden="1" x14ac:dyDescent="0.3">
      <c r="A155">
        <v>2006</v>
      </c>
      <c r="B155" t="s">
        <v>15</v>
      </c>
      <c r="C155">
        <v>11.9145307904275</v>
      </c>
      <c r="D155" t="s">
        <v>5</v>
      </c>
    </row>
    <row r="156" spans="1:4" hidden="1" x14ac:dyDescent="0.3">
      <c r="A156">
        <v>2006</v>
      </c>
      <c r="B156" t="s">
        <v>16</v>
      </c>
      <c r="C156">
        <v>1.2137981411151899</v>
      </c>
      <c r="D156" t="s">
        <v>5</v>
      </c>
    </row>
    <row r="157" spans="1:4" hidden="1" x14ac:dyDescent="0.3">
      <c r="A157">
        <v>2006</v>
      </c>
      <c r="B157" t="s">
        <v>17</v>
      </c>
      <c r="C157">
        <v>6.9563501468181702E-2</v>
      </c>
      <c r="D157" t="s">
        <v>5</v>
      </c>
    </row>
    <row r="158" spans="1:4" hidden="1" x14ac:dyDescent="0.3">
      <c r="A158">
        <v>2007</v>
      </c>
      <c r="B158" t="s">
        <v>14</v>
      </c>
      <c r="C158">
        <v>182.54545454545499</v>
      </c>
      <c r="D158" t="s">
        <v>5</v>
      </c>
    </row>
    <row r="159" spans="1:4" hidden="1" x14ac:dyDescent="0.3">
      <c r="A159">
        <v>2007</v>
      </c>
      <c r="B159" t="s">
        <v>15</v>
      </c>
      <c r="C159">
        <v>23.260970041525098</v>
      </c>
      <c r="D159" t="s">
        <v>5</v>
      </c>
    </row>
    <row r="160" spans="1:4" hidden="1" x14ac:dyDescent="0.3">
      <c r="A160">
        <v>2007</v>
      </c>
      <c r="B160" t="s">
        <v>16</v>
      </c>
      <c r="C160">
        <v>1.22376791652515</v>
      </c>
      <c r="D160" t="s">
        <v>5</v>
      </c>
    </row>
    <row r="161" spans="1:4" hidden="1" x14ac:dyDescent="0.3">
      <c r="A161">
        <v>2007</v>
      </c>
      <c r="B161" t="s">
        <v>17</v>
      </c>
      <c r="C161">
        <v>8.2243692363769494E-2</v>
      </c>
      <c r="D161" t="s">
        <v>5</v>
      </c>
    </row>
    <row r="162" spans="1:4" hidden="1" x14ac:dyDescent="0.3">
      <c r="A162">
        <v>2008</v>
      </c>
      <c r="B162" t="s">
        <v>14</v>
      </c>
      <c r="C162">
        <v>177.756097560976</v>
      </c>
      <c r="D162" t="s">
        <v>5</v>
      </c>
    </row>
    <row r="163" spans="1:4" hidden="1" x14ac:dyDescent="0.3">
      <c r="A163">
        <v>2008</v>
      </c>
      <c r="B163" t="s">
        <v>15</v>
      </c>
      <c r="C163">
        <v>12.653561422845399</v>
      </c>
      <c r="D163" t="s">
        <v>5</v>
      </c>
    </row>
    <row r="164" spans="1:4" hidden="1" x14ac:dyDescent="0.3">
      <c r="A164">
        <v>2008</v>
      </c>
      <c r="B164" t="s">
        <v>16</v>
      </c>
      <c r="C164">
        <v>1.2020171724661599</v>
      </c>
      <c r="D164" t="s">
        <v>5</v>
      </c>
    </row>
    <row r="165" spans="1:4" hidden="1" x14ac:dyDescent="0.3">
      <c r="A165">
        <v>2008</v>
      </c>
      <c r="B165" t="s">
        <v>17</v>
      </c>
      <c r="C165">
        <v>6.9119498349894906E-2</v>
      </c>
      <c r="D165" t="s">
        <v>5</v>
      </c>
    </row>
    <row r="166" spans="1:4" hidden="1" x14ac:dyDescent="0.3">
      <c r="A166">
        <v>2009</v>
      </c>
      <c r="B166" t="s">
        <v>14</v>
      </c>
      <c r="C166">
        <v>159.81818181818201</v>
      </c>
      <c r="D166" t="s">
        <v>5</v>
      </c>
    </row>
    <row r="167" spans="1:4" hidden="1" x14ac:dyDescent="0.3">
      <c r="A167">
        <v>2009</v>
      </c>
      <c r="B167" t="s">
        <v>15</v>
      </c>
      <c r="C167">
        <v>19.977259799354599</v>
      </c>
      <c r="D167" t="s">
        <v>5</v>
      </c>
    </row>
    <row r="168" spans="1:4" hidden="1" x14ac:dyDescent="0.3">
      <c r="A168">
        <v>2009</v>
      </c>
      <c r="B168" t="s">
        <v>16</v>
      </c>
      <c r="C168">
        <v>1.1557260340979301</v>
      </c>
      <c r="D168" t="s">
        <v>5</v>
      </c>
    </row>
    <row r="169" spans="1:4" hidden="1" x14ac:dyDescent="0.3">
      <c r="A169">
        <v>2009</v>
      </c>
      <c r="B169" t="s">
        <v>17</v>
      </c>
      <c r="C169">
        <v>8.0875685396634894E-2</v>
      </c>
      <c r="D169" t="s">
        <v>5</v>
      </c>
    </row>
    <row r="170" spans="1:4" hidden="1" x14ac:dyDescent="0.3">
      <c r="A170">
        <v>2010</v>
      </c>
      <c r="B170" t="s">
        <v>14</v>
      </c>
      <c r="C170">
        <v>165.47499999999999</v>
      </c>
      <c r="D170" t="s">
        <v>5</v>
      </c>
    </row>
    <row r="171" spans="1:4" hidden="1" x14ac:dyDescent="0.3">
      <c r="A171">
        <v>2010</v>
      </c>
      <c r="B171" t="s">
        <v>15</v>
      </c>
      <c r="C171">
        <v>16.668698594086798</v>
      </c>
      <c r="D171" t="s">
        <v>5</v>
      </c>
    </row>
    <row r="172" spans="1:4" hidden="1" x14ac:dyDescent="0.3">
      <c r="A172">
        <v>2010</v>
      </c>
      <c r="B172" t="s">
        <v>16</v>
      </c>
      <c r="C172">
        <v>1.2261638069969201</v>
      </c>
      <c r="D172" t="s">
        <v>5</v>
      </c>
    </row>
    <row r="173" spans="1:4" hidden="1" x14ac:dyDescent="0.3">
      <c r="A173">
        <v>2010</v>
      </c>
      <c r="B173" t="s">
        <v>17</v>
      </c>
      <c r="C173">
        <v>9.0739514530039006E-2</v>
      </c>
      <c r="D173" t="s">
        <v>5</v>
      </c>
    </row>
    <row r="174" spans="1:4" hidden="1" x14ac:dyDescent="0.3">
      <c r="A174">
        <v>2011</v>
      </c>
      <c r="B174" t="s">
        <v>14</v>
      </c>
      <c r="C174">
        <v>178.85185185185199</v>
      </c>
      <c r="D174" t="s">
        <v>5</v>
      </c>
    </row>
    <row r="175" spans="1:4" hidden="1" x14ac:dyDescent="0.3">
      <c r="A175">
        <v>2011</v>
      </c>
      <c r="B175" t="s">
        <v>15</v>
      </c>
      <c r="C175">
        <v>26.107328331190701</v>
      </c>
      <c r="D175" t="s">
        <v>5</v>
      </c>
    </row>
    <row r="176" spans="1:4" hidden="1" x14ac:dyDescent="0.3">
      <c r="A176">
        <v>2011</v>
      </c>
      <c r="B176" t="s">
        <v>16</v>
      </c>
      <c r="C176">
        <v>1.18214379146104</v>
      </c>
      <c r="D176" t="s">
        <v>5</v>
      </c>
    </row>
    <row r="177" spans="1:4" hidden="1" x14ac:dyDescent="0.3">
      <c r="A177">
        <v>2011</v>
      </c>
      <c r="B177" t="s">
        <v>17</v>
      </c>
      <c r="C177">
        <v>9.0180246337552103E-2</v>
      </c>
      <c r="D177" t="s">
        <v>5</v>
      </c>
    </row>
    <row r="178" spans="1:4" hidden="1" x14ac:dyDescent="0.3">
      <c r="A178">
        <v>2012</v>
      </c>
      <c r="B178" t="s">
        <v>14</v>
      </c>
      <c r="C178">
        <v>185.826086956522</v>
      </c>
      <c r="D178" t="s">
        <v>5</v>
      </c>
    </row>
    <row r="179" spans="1:4" hidden="1" x14ac:dyDescent="0.3">
      <c r="A179">
        <v>2012</v>
      </c>
      <c r="B179" t="s">
        <v>15</v>
      </c>
      <c r="C179">
        <v>16.935305923355202</v>
      </c>
      <c r="D179" t="s">
        <v>5</v>
      </c>
    </row>
    <row r="180" spans="1:4" hidden="1" x14ac:dyDescent="0.3">
      <c r="A180">
        <v>2012</v>
      </c>
      <c r="B180" t="s">
        <v>16</v>
      </c>
      <c r="C180">
        <v>1.1887084127357499</v>
      </c>
      <c r="D180" t="s">
        <v>5</v>
      </c>
    </row>
    <row r="181" spans="1:4" hidden="1" x14ac:dyDescent="0.3">
      <c r="A181">
        <v>2012</v>
      </c>
      <c r="B181" t="s">
        <v>17</v>
      </c>
      <c r="C181">
        <v>7.06091360398233E-2</v>
      </c>
      <c r="D181" t="s">
        <v>5</v>
      </c>
    </row>
    <row r="182" spans="1:4" hidden="1" x14ac:dyDescent="0.3">
      <c r="A182">
        <v>2013</v>
      </c>
      <c r="B182" t="s">
        <v>14</v>
      </c>
      <c r="C182">
        <v>203</v>
      </c>
      <c r="D182" t="s">
        <v>5</v>
      </c>
    </row>
    <row r="183" spans="1:4" hidden="1" x14ac:dyDescent="0.3">
      <c r="A183">
        <v>2013</v>
      </c>
      <c r="B183" t="s">
        <v>15</v>
      </c>
      <c r="C183">
        <v>46.669047558312101</v>
      </c>
      <c r="D183" t="s">
        <v>5</v>
      </c>
    </row>
    <row r="184" spans="1:4" hidden="1" x14ac:dyDescent="0.3">
      <c r="A184">
        <v>2013</v>
      </c>
      <c r="B184" t="s">
        <v>16</v>
      </c>
      <c r="C184">
        <v>1.23303736962241</v>
      </c>
      <c r="D184" t="s">
        <v>5</v>
      </c>
    </row>
    <row r="185" spans="1:4" hidden="1" x14ac:dyDescent="0.3">
      <c r="A185">
        <v>2013</v>
      </c>
      <c r="B185" t="s">
        <v>17</v>
      </c>
      <c r="C185">
        <v>0.16059588056837201</v>
      </c>
      <c r="D185" t="s">
        <v>5</v>
      </c>
    </row>
    <row r="186" spans="1:4" hidden="1" x14ac:dyDescent="0.3">
      <c r="A186">
        <v>2015</v>
      </c>
      <c r="B186" t="s">
        <v>14</v>
      </c>
      <c r="C186">
        <v>189.333333333333</v>
      </c>
      <c r="D186" t="s">
        <v>5</v>
      </c>
    </row>
    <row r="187" spans="1:4" hidden="1" x14ac:dyDescent="0.3">
      <c r="A187">
        <v>2015</v>
      </c>
      <c r="B187" t="s">
        <v>15</v>
      </c>
      <c r="C187">
        <v>5.8594652770823199</v>
      </c>
      <c r="D187" t="s">
        <v>5</v>
      </c>
    </row>
    <row r="188" spans="1:4" hidden="1" x14ac:dyDescent="0.3">
      <c r="A188">
        <v>2015</v>
      </c>
      <c r="B188" t="s">
        <v>16</v>
      </c>
      <c r="C188">
        <v>1.23014592957855</v>
      </c>
      <c r="D188" t="s">
        <v>5</v>
      </c>
    </row>
    <row r="189" spans="1:4" hidden="1" x14ac:dyDescent="0.3">
      <c r="A189">
        <v>2015</v>
      </c>
      <c r="B189" t="s">
        <v>17</v>
      </c>
      <c r="C189">
        <v>6.0683289687090804E-3</v>
      </c>
      <c r="D189" t="s">
        <v>5</v>
      </c>
    </row>
    <row r="190" spans="1:4" hidden="1" x14ac:dyDescent="0.3">
      <c r="A190">
        <v>2017</v>
      </c>
      <c r="B190" t="s">
        <v>14</v>
      </c>
      <c r="C190">
        <v>223.5</v>
      </c>
      <c r="D190" t="s">
        <v>5</v>
      </c>
    </row>
    <row r="191" spans="1:4" hidden="1" x14ac:dyDescent="0.3">
      <c r="A191">
        <v>2017</v>
      </c>
      <c r="B191" t="s">
        <v>15</v>
      </c>
      <c r="C191">
        <v>31.583223394707499</v>
      </c>
      <c r="D191" t="s">
        <v>5</v>
      </c>
    </row>
    <row r="192" spans="1:4" hidden="1" x14ac:dyDescent="0.3">
      <c r="A192">
        <v>2017</v>
      </c>
      <c r="B192" t="s">
        <v>16</v>
      </c>
      <c r="C192">
        <v>1.4008294105833401</v>
      </c>
      <c r="D192" t="s">
        <v>5</v>
      </c>
    </row>
    <row r="193" spans="1:4" hidden="1" x14ac:dyDescent="0.3">
      <c r="A193">
        <v>2017</v>
      </c>
      <c r="B193" t="s">
        <v>17</v>
      </c>
      <c r="C193">
        <v>0.13933777544517101</v>
      </c>
      <c r="D193" t="s">
        <v>5</v>
      </c>
    </row>
    <row r="194" spans="1:4" hidden="1" x14ac:dyDescent="0.3">
      <c r="A194">
        <v>2018</v>
      </c>
      <c r="B194" t="s">
        <v>14</v>
      </c>
      <c r="C194">
        <v>216.45454545454501</v>
      </c>
      <c r="D194" t="s">
        <v>5</v>
      </c>
    </row>
    <row r="195" spans="1:4" hidden="1" x14ac:dyDescent="0.3">
      <c r="A195">
        <v>2018</v>
      </c>
      <c r="B195" t="s">
        <v>15</v>
      </c>
      <c r="C195">
        <v>26.2044409837861</v>
      </c>
      <c r="D195" t="s">
        <v>5</v>
      </c>
    </row>
    <row r="196" spans="1:4" hidden="1" x14ac:dyDescent="0.3">
      <c r="A196">
        <v>2018</v>
      </c>
      <c r="B196" t="s">
        <v>16</v>
      </c>
      <c r="C196">
        <v>1.3265496286965499</v>
      </c>
      <c r="D196" t="s">
        <v>5</v>
      </c>
    </row>
    <row r="197" spans="1:4" hidden="1" x14ac:dyDescent="0.3">
      <c r="A197">
        <v>2018</v>
      </c>
      <c r="B197" t="s">
        <v>17</v>
      </c>
      <c r="C197">
        <v>0.100549577669434</v>
      </c>
      <c r="D197" t="s">
        <v>5</v>
      </c>
    </row>
    <row r="198" spans="1:4" hidden="1" x14ac:dyDescent="0.3">
      <c r="A198">
        <v>2019</v>
      </c>
      <c r="B198" t="s">
        <v>14</v>
      </c>
      <c r="C198">
        <v>189.771428571429</v>
      </c>
      <c r="D198" t="s">
        <v>5</v>
      </c>
    </row>
    <row r="199" spans="1:4" hidden="1" x14ac:dyDescent="0.3">
      <c r="A199">
        <v>2019</v>
      </c>
      <c r="B199" t="s">
        <v>15</v>
      </c>
      <c r="C199">
        <v>20.8412567565701</v>
      </c>
      <c r="D199" t="s">
        <v>5</v>
      </c>
    </row>
    <row r="200" spans="1:4" hidden="1" x14ac:dyDescent="0.3">
      <c r="A200">
        <v>2019</v>
      </c>
      <c r="B200" t="s">
        <v>16</v>
      </c>
      <c r="C200">
        <v>1.23463897187496</v>
      </c>
      <c r="D200" t="s">
        <v>5</v>
      </c>
    </row>
    <row r="201" spans="1:4" hidden="1" x14ac:dyDescent="0.3">
      <c r="A201">
        <v>2019</v>
      </c>
      <c r="B201" t="s">
        <v>17</v>
      </c>
      <c r="C201">
        <v>8.8914453231589696E-2</v>
      </c>
      <c r="D201" t="s">
        <v>5</v>
      </c>
    </row>
    <row r="202" spans="1:4" hidden="1" x14ac:dyDescent="0.3">
      <c r="A202">
        <v>1999</v>
      </c>
      <c r="B202" t="s">
        <v>18</v>
      </c>
      <c r="C202">
        <v>10.854406384912499</v>
      </c>
      <c r="D202" t="s">
        <v>5</v>
      </c>
    </row>
    <row r="203" spans="1:4" hidden="1" x14ac:dyDescent="0.3">
      <c r="A203">
        <v>2000</v>
      </c>
      <c r="B203" t="s">
        <v>18</v>
      </c>
      <c r="C203">
        <v>11.268639083886899</v>
      </c>
      <c r="D203" t="s">
        <v>5</v>
      </c>
    </row>
    <row r="204" spans="1:4" hidden="1" x14ac:dyDescent="0.3">
      <c r="A204">
        <v>2001</v>
      </c>
      <c r="B204" t="s">
        <v>18</v>
      </c>
      <c r="C204">
        <v>8.4871243539287207</v>
      </c>
      <c r="D204" t="s">
        <v>5</v>
      </c>
    </row>
    <row r="205" spans="1:4" hidden="1" x14ac:dyDescent="0.3">
      <c r="A205">
        <v>2002</v>
      </c>
      <c r="B205" t="s">
        <v>18</v>
      </c>
      <c r="C205">
        <v>8.9517515047485503</v>
      </c>
      <c r="D205" t="s">
        <v>5</v>
      </c>
    </row>
    <row r="206" spans="1:4" hidden="1" x14ac:dyDescent="0.3">
      <c r="A206">
        <v>2003</v>
      </c>
      <c r="B206" t="s">
        <v>18</v>
      </c>
      <c r="C206">
        <v>7.9201131655781403</v>
      </c>
      <c r="D206" t="s">
        <v>5</v>
      </c>
    </row>
    <row r="207" spans="1:4" hidden="1" x14ac:dyDescent="0.3">
      <c r="A207">
        <v>2004</v>
      </c>
      <c r="B207" t="s">
        <v>18</v>
      </c>
      <c r="C207">
        <v>8.5069625236753801</v>
      </c>
      <c r="D207" t="s">
        <v>5</v>
      </c>
    </row>
    <row r="208" spans="1:4" hidden="1" x14ac:dyDescent="0.3">
      <c r="A208">
        <v>2005</v>
      </c>
      <c r="B208" t="s">
        <v>18</v>
      </c>
      <c r="C208">
        <v>9.7731151139546597</v>
      </c>
      <c r="D208" t="s">
        <v>5</v>
      </c>
    </row>
    <row r="209" spans="1:4" hidden="1" x14ac:dyDescent="0.3">
      <c r="A209">
        <v>2006</v>
      </c>
      <c r="B209" t="s">
        <v>18</v>
      </c>
      <c r="C209">
        <v>9.7212906511745896</v>
      </c>
      <c r="D209" t="s">
        <v>5</v>
      </c>
    </row>
    <row r="210" spans="1:4" hidden="1" x14ac:dyDescent="0.3">
      <c r="A210">
        <v>2007</v>
      </c>
      <c r="B210" t="s">
        <v>18</v>
      </c>
      <c r="C210">
        <v>8.3914773324711494</v>
      </c>
      <c r="D210" t="s">
        <v>5</v>
      </c>
    </row>
    <row r="211" spans="1:4" hidden="1" x14ac:dyDescent="0.3">
      <c r="A211">
        <v>2008</v>
      </c>
      <c r="B211" t="s">
        <v>18</v>
      </c>
      <c r="C211">
        <v>9.2016261013244396</v>
      </c>
      <c r="D211" t="s">
        <v>5</v>
      </c>
    </row>
    <row r="212" spans="1:4" hidden="1" x14ac:dyDescent="0.3">
      <c r="A212">
        <v>2009</v>
      </c>
      <c r="B212" t="s">
        <v>18</v>
      </c>
      <c r="C212">
        <v>9.0254704894437907</v>
      </c>
      <c r="D212" t="s">
        <v>5</v>
      </c>
    </row>
    <row r="213" spans="1:4" hidden="1" x14ac:dyDescent="0.3">
      <c r="A213">
        <v>2010</v>
      </c>
      <c r="B213" t="s">
        <v>18</v>
      </c>
      <c r="C213">
        <v>9.4449271575626792</v>
      </c>
      <c r="D213" t="s">
        <v>5</v>
      </c>
    </row>
    <row r="214" spans="1:4" hidden="1" x14ac:dyDescent="0.3">
      <c r="A214">
        <v>2011</v>
      </c>
      <c r="B214" t="s">
        <v>18</v>
      </c>
      <c r="C214">
        <v>9.9308627687327995</v>
      </c>
      <c r="D214" t="s">
        <v>5</v>
      </c>
    </row>
    <row r="215" spans="1:4" hidden="1" x14ac:dyDescent="0.3">
      <c r="A215">
        <v>2012</v>
      </c>
      <c r="B215" t="s">
        <v>18</v>
      </c>
      <c r="C215">
        <v>11.908928329208001</v>
      </c>
      <c r="D215" t="s">
        <v>5</v>
      </c>
    </row>
    <row r="216" spans="1:4" hidden="1" x14ac:dyDescent="0.3">
      <c r="A216">
        <v>2013</v>
      </c>
      <c r="B216" t="s">
        <v>18</v>
      </c>
      <c r="C216">
        <v>12.4993793316464</v>
      </c>
      <c r="D216" t="s">
        <v>5</v>
      </c>
    </row>
    <row r="217" spans="1:4" hidden="1" x14ac:dyDescent="0.3">
      <c r="A217">
        <v>2014</v>
      </c>
      <c r="B217" t="s">
        <v>18</v>
      </c>
      <c r="C217">
        <v>12.100283559503801</v>
      </c>
      <c r="D217" t="s">
        <v>5</v>
      </c>
    </row>
    <row r="218" spans="1:4" hidden="1" x14ac:dyDescent="0.3">
      <c r="A218">
        <v>2015</v>
      </c>
      <c r="B218" t="s">
        <v>18</v>
      </c>
      <c r="C218">
        <v>12.359741344365</v>
      </c>
      <c r="D218" t="s">
        <v>5</v>
      </c>
    </row>
    <row r="219" spans="1:4" hidden="1" x14ac:dyDescent="0.3">
      <c r="A219">
        <v>2016</v>
      </c>
      <c r="B219" t="s">
        <v>18</v>
      </c>
      <c r="C219">
        <v>14.2647266071326</v>
      </c>
      <c r="D219" t="s">
        <v>5</v>
      </c>
    </row>
    <row r="220" spans="1:4" hidden="1" x14ac:dyDescent="0.3">
      <c r="A220">
        <v>2017</v>
      </c>
      <c r="B220" t="s">
        <v>18</v>
      </c>
      <c r="C220">
        <v>12.4637476660687</v>
      </c>
      <c r="D220" t="s">
        <v>5</v>
      </c>
    </row>
    <row r="221" spans="1:4" hidden="1" x14ac:dyDescent="0.3">
      <c r="A221">
        <v>2018</v>
      </c>
      <c r="B221" t="s">
        <v>18</v>
      </c>
      <c r="C221">
        <v>12.239569954322899</v>
      </c>
      <c r="D221" t="s">
        <v>5</v>
      </c>
    </row>
    <row r="222" spans="1:4" hidden="1" x14ac:dyDescent="0.3">
      <c r="A222">
        <v>2019</v>
      </c>
      <c r="B222" t="s">
        <v>18</v>
      </c>
      <c r="C222">
        <v>12.2242931751793</v>
      </c>
      <c r="D222" t="s">
        <v>5</v>
      </c>
    </row>
    <row r="223" spans="1:4" hidden="1" x14ac:dyDescent="0.3">
      <c r="A223">
        <v>1999</v>
      </c>
      <c r="B223" t="s">
        <v>19</v>
      </c>
      <c r="C223">
        <v>12.151282149336399</v>
      </c>
      <c r="D223" t="s">
        <v>5</v>
      </c>
    </row>
    <row r="224" spans="1:4" hidden="1" x14ac:dyDescent="0.3">
      <c r="A224">
        <v>2000</v>
      </c>
      <c r="B224" t="s">
        <v>19</v>
      </c>
      <c r="C224">
        <v>12.4628292232926</v>
      </c>
      <c r="D224" t="s">
        <v>5</v>
      </c>
    </row>
    <row r="225" spans="1:4" hidden="1" x14ac:dyDescent="0.3">
      <c r="A225">
        <v>2001</v>
      </c>
      <c r="B225" t="s">
        <v>19</v>
      </c>
      <c r="C225">
        <v>10.023736033243701</v>
      </c>
      <c r="D225" t="s">
        <v>5</v>
      </c>
    </row>
    <row r="226" spans="1:4" hidden="1" x14ac:dyDescent="0.3">
      <c r="A226">
        <v>2002</v>
      </c>
      <c r="B226" t="s">
        <v>19</v>
      </c>
      <c r="C226">
        <v>12.5313370823472</v>
      </c>
      <c r="D226" t="s">
        <v>5</v>
      </c>
    </row>
    <row r="227" spans="1:4" hidden="1" x14ac:dyDescent="0.3">
      <c r="A227">
        <v>2003</v>
      </c>
      <c r="B227" t="s">
        <v>19</v>
      </c>
      <c r="C227">
        <v>12.0178347683052</v>
      </c>
      <c r="D227" t="s">
        <v>5</v>
      </c>
    </row>
    <row r="228" spans="1:4" hidden="1" x14ac:dyDescent="0.3">
      <c r="A228">
        <v>2004</v>
      </c>
      <c r="B228" t="s">
        <v>19</v>
      </c>
      <c r="C228">
        <v>12.209834283180699</v>
      </c>
      <c r="D228" t="s">
        <v>5</v>
      </c>
    </row>
    <row r="229" spans="1:4" hidden="1" x14ac:dyDescent="0.3">
      <c r="A229">
        <v>2005</v>
      </c>
      <c r="B229" t="s">
        <v>19</v>
      </c>
      <c r="C229">
        <v>9.2255288416317995</v>
      </c>
      <c r="D229" t="s">
        <v>5</v>
      </c>
    </row>
    <row r="230" spans="1:4" hidden="1" x14ac:dyDescent="0.3">
      <c r="A230">
        <v>2006</v>
      </c>
      <c r="B230" t="s">
        <v>19</v>
      </c>
      <c r="C230">
        <v>12.015320884518299</v>
      </c>
      <c r="D230" t="s">
        <v>5</v>
      </c>
    </row>
    <row r="231" spans="1:4" hidden="1" x14ac:dyDescent="0.3">
      <c r="A231">
        <v>2007</v>
      </c>
      <c r="B231" t="s">
        <v>19</v>
      </c>
      <c r="C231">
        <v>11.355514549978</v>
      </c>
      <c r="D231" t="s">
        <v>5</v>
      </c>
    </row>
    <row r="232" spans="1:4" hidden="1" x14ac:dyDescent="0.3">
      <c r="A232">
        <v>2008</v>
      </c>
      <c r="B232" t="s">
        <v>19</v>
      </c>
      <c r="C232">
        <v>13.6482607011315</v>
      </c>
      <c r="D232" t="s">
        <v>5</v>
      </c>
    </row>
    <row r="233" spans="1:4" hidden="1" x14ac:dyDescent="0.3">
      <c r="A233">
        <v>2009</v>
      </c>
      <c r="B233" t="s">
        <v>19</v>
      </c>
      <c r="C233">
        <v>12.102626456526201</v>
      </c>
      <c r="D233" t="s">
        <v>5</v>
      </c>
    </row>
    <row r="234" spans="1:4" hidden="1" x14ac:dyDescent="0.3">
      <c r="A234">
        <v>2010</v>
      </c>
      <c r="B234" t="s">
        <v>19</v>
      </c>
      <c r="C234">
        <v>12.5921920719189</v>
      </c>
      <c r="D234" t="s">
        <v>5</v>
      </c>
    </row>
    <row r="235" spans="1:4" hidden="1" x14ac:dyDescent="0.3">
      <c r="A235">
        <v>2011</v>
      </c>
      <c r="B235" t="s">
        <v>19</v>
      </c>
      <c r="C235">
        <v>12.9081266214338</v>
      </c>
      <c r="D235" t="s">
        <v>5</v>
      </c>
    </row>
    <row r="236" spans="1:4" hidden="1" x14ac:dyDescent="0.3">
      <c r="A236">
        <v>2012</v>
      </c>
      <c r="B236" t="s">
        <v>19</v>
      </c>
      <c r="C236">
        <v>15.0004374313932</v>
      </c>
      <c r="D236" t="s">
        <v>5</v>
      </c>
    </row>
    <row r="237" spans="1:4" hidden="1" x14ac:dyDescent="0.3">
      <c r="A237">
        <v>2013</v>
      </c>
      <c r="B237" t="s">
        <v>19</v>
      </c>
      <c r="C237">
        <v>8.7248753667562902</v>
      </c>
      <c r="D237" t="s">
        <v>5</v>
      </c>
    </row>
    <row r="238" spans="1:4" hidden="1" x14ac:dyDescent="0.3">
      <c r="A238">
        <v>2014</v>
      </c>
      <c r="B238" t="s">
        <v>19</v>
      </c>
      <c r="C238">
        <v>9.2330530522600007</v>
      </c>
      <c r="D238" t="s">
        <v>5</v>
      </c>
    </row>
    <row r="239" spans="1:4" hidden="1" x14ac:dyDescent="0.3">
      <c r="A239">
        <v>2015</v>
      </c>
      <c r="B239" t="s">
        <v>19</v>
      </c>
      <c r="C239">
        <v>10.6093962345655</v>
      </c>
      <c r="D239" t="s">
        <v>5</v>
      </c>
    </row>
    <row r="240" spans="1:4" hidden="1" x14ac:dyDescent="0.3">
      <c r="A240">
        <v>2016</v>
      </c>
      <c r="B240" t="s">
        <v>19</v>
      </c>
      <c r="C240">
        <v>11.0628145271201</v>
      </c>
      <c r="D240" t="s">
        <v>5</v>
      </c>
    </row>
    <row r="241" spans="1:4" hidden="1" x14ac:dyDescent="0.3">
      <c r="A241">
        <v>2017</v>
      </c>
      <c r="B241" t="s">
        <v>19</v>
      </c>
      <c r="C241">
        <v>10.094610542634699</v>
      </c>
      <c r="D241" t="s">
        <v>5</v>
      </c>
    </row>
    <row r="242" spans="1:4" hidden="1" x14ac:dyDescent="0.3">
      <c r="A242">
        <v>2018</v>
      </c>
      <c r="B242" t="s">
        <v>19</v>
      </c>
      <c r="C242">
        <v>13.9036310414747</v>
      </c>
      <c r="D242" t="s">
        <v>5</v>
      </c>
    </row>
    <row r="243" spans="1:4" hidden="1" x14ac:dyDescent="0.3">
      <c r="A243">
        <v>2019</v>
      </c>
      <c r="B243" t="s">
        <v>19</v>
      </c>
      <c r="C243">
        <v>9.3659168136126194</v>
      </c>
      <c r="D243" t="s">
        <v>5</v>
      </c>
    </row>
    <row r="244" spans="1:4" hidden="1" x14ac:dyDescent="0.3">
      <c r="A244">
        <v>1999</v>
      </c>
      <c r="B244" t="s">
        <v>20</v>
      </c>
      <c r="C244">
        <v>11.8437066391194</v>
      </c>
      <c r="D244" t="s">
        <v>5</v>
      </c>
    </row>
    <row r="245" spans="1:4" hidden="1" x14ac:dyDescent="0.3">
      <c r="A245">
        <v>2000</v>
      </c>
      <c r="B245" t="s">
        <v>20</v>
      </c>
      <c r="C245">
        <v>12.6812107089342</v>
      </c>
      <c r="D245" t="s">
        <v>5</v>
      </c>
    </row>
    <row r="246" spans="1:4" hidden="1" x14ac:dyDescent="0.3">
      <c r="A246">
        <v>2001</v>
      </c>
      <c r="B246" t="s">
        <v>20</v>
      </c>
      <c r="C246">
        <v>10.562381939537801</v>
      </c>
      <c r="D246" t="s">
        <v>5</v>
      </c>
    </row>
    <row r="247" spans="1:4" hidden="1" x14ac:dyDescent="0.3">
      <c r="A247">
        <v>2002</v>
      </c>
      <c r="B247" t="s">
        <v>20</v>
      </c>
      <c r="C247">
        <v>11.6777893079392</v>
      </c>
      <c r="D247" t="s">
        <v>5</v>
      </c>
    </row>
    <row r="248" spans="1:4" hidden="1" x14ac:dyDescent="0.3">
      <c r="A248">
        <v>2003</v>
      </c>
      <c r="B248" t="s">
        <v>20</v>
      </c>
      <c r="C248">
        <v>10.422135097178799</v>
      </c>
      <c r="D248" t="s">
        <v>5</v>
      </c>
    </row>
    <row r="249" spans="1:4" hidden="1" x14ac:dyDescent="0.3">
      <c r="A249">
        <v>2004</v>
      </c>
      <c r="B249" t="s">
        <v>20</v>
      </c>
      <c r="C249">
        <v>10.570232723979201</v>
      </c>
      <c r="D249" t="s">
        <v>5</v>
      </c>
    </row>
    <row r="250" spans="1:4" hidden="1" x14ac:dyDescent="0.3">
      <c r="A250">
        <v>2005</v>
      </c>
      <c r="B250" t="s">
        <v>20</v>
      </c>
      <c r="C250">
        <v>8.1202220807573706</v>
      </c>
      <c r="D250" t="s">
        <v>5</v>
      </c>
    </row>
    <row r="251" spans="1:4" hidden="1" x14ac:dyDescent="0.3">
      <c r="A251">
        <v>2006</v>
      </c>
      <c r="B251" t="s">
        <v>20</v>
      </c>
      <c r="C251">
        <v>11.8888322220986</v>
      </c>
      <c r="D251" t="s">
        <v>5</v>
      </c>
    </row>
    <row r="252" spans="1:4" hidden="1" x14ac:dyDescent="0.3">
      <c r="A252">
        <v>2007</v>
      </c>
      <c r="B252" t="s">
        <v>20</v>
      </c>
      <c r="C252">
        <v>9.5454101546321901</v>
      </c>
      <c r="D252" t="s">
        <v>5</v>
      </c>
    </row>
    <row r="253" spans="1:4" hidden="1" x14ac:dyDescent="0.3">
      <c r="A253">
        <v>2008</v>
      </c>
      <c r="B253" t="s">
        <v>20</v>
      </c>
      <c r="C253">
        <v>12.6770164561754</v>
      </c>
      <c r="D253" t="s">
        <v>5</v>
      </c>
    </row>
    <row r="254" spans="1:4" hidden="1" x14ac:dyDescent="0.3">
      <c r="A254">
        <v>2009</v>
      </c>
      <c r="B254" t="s">
        <v>20</v>
      </c>
      <c r="C254">
        <v>11.278396531107299</v>
      </c>
      <c r="D254" t="s">
        <v>5</v>
      </c>
    </row>
    <row r="255" spans="1:4" hidden="1" x14ac:dyDescent="0.3">
      <c r="A255">
        <v>2010</v>
      </c>
      <c r="B255" t="s">
        <v>20</v>
      </c>
      <c r="C255">
        <v>11.480411928355499</v>
      </c>
      <c r="D255" t="s">
        <v>5</v>
      </c>
    </row>
    <row r="256" spans="1:4" hidden="1" x14ac:dyDescent="0.3">
      <c r="A256">
        <v>2011</v>
      </c>
      <c r="B256" t="s">
        <v>20</v>
      </c>
      <c r="C256">
        <v>11.8078012820484</v>
      </c>
      <c r="D256" t="s">
        <v>5</v>
      </c>
    </row>
    <row r="257" spans="1:4" hidden="1" x14ac:dyDescent="0.3">
      <c r="A257">
        <v>2012</v>
      </c>
      <c r="B257" t="s">
        <v>20</v>
      </c>
      <c r="C257">
        <v>14.446429991927801</v>
      </c>
      <c r="D257" t="s">
        <v>5</v>
      </c>
    </row>
    <row r="258" spans="1:4" hidden="1" x14ac:dyDescent="0.3">
      <c r="A258">
        <v>2013</v>
      </c>
      <c r="B258" t="s">
        <v>20</v>
      </c>
      <c r="C258">
        <v>10.627754530159301</v>
      </c>
      <c r="D258" t="s">
        <v>5</v>
      </c>
    </row>
    <row r="259" spans="1:4" hidden="1" x14ac:dyDescent="0.3">
      <c r="A259">
        <v>2014</v>
      </c>
      <c r="B259" t="s">
        <v>20</v>
      </c>
      <c r="C259">
        <v>7.2988830830089704</v>
      </c>
      <c r="D259" t="s">
        <v>5</v>
      </c>
    </row>
    <row r="260" spans="1:4" hidden="1" x14ac:dyDescent="0.3">
      <c r="A260">
        <v>2015</v>
      </c>
      <c r="B260" t="s">
        <v>20</v>
      </c>
      <c r="C260">
        <v>9.5367432741907994</v>
      </c>
      <c r="D260" t="s">
        <v>5</v>
      </c>
    </row>
    <row r="261" spans="1:4" hidden="1" x14ac:dyDescent="0.3">
      <c r="A261">
        <v>2016</v>
      </c>
      <c r="B261" t="s">
        <v>20</v>
      </c>
      <c r="C261">
        <v>9.8724349805202003</v>
      </c>
      <c r="D261" t="s">
        <v>5</v>
      </c>
    </row>
    <row r="262" spans="1:4" hidden="1" x14ac:dyDescent="0.3">
      <c r="A262">
        <v>2017</v>
      </c>
      <c r="B262" t="s">
        <v>20</v>
      </c>
      <c r="C262">
        <v>11.276780439477101</v>
      </c>
      <c r="D262" t="s">
        <v>5</v>
      </c>
    </row>
    <row r="263" spans="1:4" hidden="1" x14ac:dyDescent="0.3">
      <c r="A263">
        <v>2018</v>
      </c>
      <c r="B263" t="s">
        <v>20</v>
      </c>
      <c r="C263">
        <v>11.7624294466639</v>
      </c>
      <c r="D263" t="s">
        <v>5</v>
      </c>
    </row>
    <row r="264" spans="1:4" hidden="1" x14ac:dyDescent="0.3">
      <c r="A264">
        <v>2019</v>
      </c>
      <c r="B264" t="s">
        <v>20</v>
      </c>
      <c r="C264">
        <v>12.6929494851819</v>
      </c>
      <c r="D264" t="s">
        <v>5</v>
      </c>
    </row>
    <row r="266" spans="1:4" x14ac:dyDescent="0.3">
      <c r="B266" t="s">
        <v>21</v>
      </c>
      <c r="C266">
        <f>AVERAGE(C70:C198)</f>
        <v>54.118493612113845</v>
      </c>
    </row>
  </sheetData>
  <autoFilter ref="A1:D264">
    <filterColumn colId="1">
      <filters>
        <filter val="L.sd.DFO.IntSprH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24"/>
  <sheetViews>
    <sheetView tabSelected="1" topLeftCell="A2" workbookViewId="0">
      <selection activeCell="J16" sqref="J16"/>
    </sheetView>
  </sheetViews>
  <sheetFormatPr defaultRowHeight="14.4" x14ac:dyDescent="0.3"/>
  <sheetData>
    <row r="2" spans="1:19" x14ac:dyDescent="0.3">
      <c r="A2" t="s">
        <v>0</v>
      </c>
      <c r="B2" t="s">
        <v>1</v>
      </c>
      <c r="C2" t="s">
        <v>22</v>
      </c>
      <c r="D2" t="s">
        <v>3</v>
      </c>
      <c r="F2" t="s">
        <v>0</v>
      </c>
      <c r="G2" t="s">
        <v>1</v>
      </c>
      <c r="H2" t="s">
        <v>23</v>
      </c>
      <c r="I2" t="s">
        <v>3</v>
      </c>
      <c r="K2" t="s">
        <v>0</v>
      </c>
      <c r="L2" t="s">
        <v>1</v>
      </c>
      <c r="M2" t="s">
        <v>22</v>
      </c>
      <c r="N2" t="s">
        <v>3</v>
      </c>
      <c r="P2" t="s">
        <v>0</v>
      </c>
      <c r="Q2" t="s">
        <v>1</v>
      </c>
      <c r="R2" t="s">
        <v>2</v>
      </c>
      <c r="S2" t="s">
        <v>3</v>
      </c>
    </row>
    <row r="3" spans="1:19" x14ac:dyDescent="0.3">
      <c r="A3">
        <v>1999</v>
      </c>
      <c r="B3" t="s">
        <v>14</v>
      </c>
      <c r="C3">
        <v>172.95</v>
      </c>
      <c r="D3" t="s">
        <v>5</v>
      </c>
      <c r="F3">
        <v>1999</v>
      </c>
      <c r="G3" t="s">
        <v>10</v>
      </c>
      <c r="H3">
        <v>177.695652173913</v>
      </c>
      <c r="I3" t="s">
        <v>5</v>
      </c>
      <c r="K3">
        <v>1999</v>
      </c>
      <c r="L3" t="s">
        <v>15</v>
      </c>
      <c r="M3">
        <v>20.140232058455101</v>
      </c>
      <c r="N3" t="s">
        <v>5</v>
      </c>
      <c r="P3">
        <v>1999</v>
      </c>
      <c r="Q3" t="s">
        <v>11</v>
      </c>
      <c r="R3">
        <v>14.354076971080399</v>
      </c>
      <c r="S3" t="s">
        <v>5</v>
      </c>
    </row>
    <row r="4" spans="1:19" x14ac:dyDescent="0.3">
      <c r="A4">
        <v>2000</v>
      </c>
      <c r="B4" t="s">
        <v>14</v>
      </c>
      <c r="C4">
        <v>186.583333333333</v>
      </c>
      <c r="D4" t="s">
        <v>5</v>
      </c>
      <c r="F4">
        <v>2000</v>
      </c>
      <c r="G4" t="s">
        <v>10</v>
      </c>
      <c r="H4">
        <v>193.136363636364</v>
      </c>
      <c r="I4" t="s">
        <v>5</v>
      </c>
      <c r="K4">
        <v>2000</v>
      </c>
      <c r="L4" t="s">
        <v>15</v>
      </c>
      <c r="M4">
        <v>14.816810682055699</v>
      </c>
      <c r="N4" t="s">
        <v>5</v>
      </c>
      <c r="P4">
        <v>2000</v>
      </c>
      <c r="Q4" t="s">
        <v>11</v>
      </c>
      <c r="R4">
        <v>11.671273054753501</v>
      </c>
      <c r="S4" t="s">
        <v>5</v>
      </c>
    </row>
    <row r="5" spans="1:19" x14ac:dyDescent="0.3">
      <c r="A5">
        <v>2001</v>
      </c>
      <c r="B5" t="s">
        <v>14</v>
      </c>
      <c r="C5">
        <v>181.75</v>
      </c>
      <c r="D5" t="s">
        <v>5</v>
      </c>
      <c r="F5">
        <v>2001</v>
      </c>
      <c r="G5" t="s">
        <v>10</v>
      </c>
      <c r="H5">
        <v>179.25</v>
      </c>
      <c r="I5" t="s">
        <v>5</v>
      </c>
      <c r="K5">
        <v>2001</v>
      </c>
      <c r="L5" t="s">
        <v>15</v>
      </c>
      <c r="M5">
        <v>10.6871083888153</v>
      </c>
      <c r="N5" t="s">
        <v>5</v>
      </c>
      <c r="P5">
        <v>2001</v>
      </c>
      <c r="Q5" t="s">
        <v>11</v>
      </c>
      <c r="R5">
        <v>3.0956959368344501</v>
      </c>
      <c r="S5" t="s">
        <v>5</v>
      </c>
    </row>
    <row r="6" spans="1:19" x14ac:dyDescent="0.3">
      <c r="A6">
        <v>2002</v>
      </c>
      <c r="B6" t="s">
        <v>14</v>
      </c>
      <c r="C6">
        <v>168.333333333333</v>
      </c>
      <c r="D6" t="s">
        <v>5</v>
      </c>
      <c r="F6">
        <v>2002</v>
      </c>
      <c r="G6" t="s">
        <v>10</v>
      </c>
      <c r="H6">
        <v>178</v>
      </c>
      <c r="I6" t="s">
        <v>5</v>
      </c>
      <c r="K6">
        <v>2002</v>
      </c>
      <c r="L6" t="s">
        <v>15</v>
      </c>
      <c r="M6">
        <v>19.319679086361699</v>
      </c>
      <c r="N6" t="s">
        <v>5</v>
      </c>
      <c r="P6">
        <v>2002</v>
      </c>
      <c r="Q6" t="s">
        <v>11</v>
      </c>
      <c r="R6">
        <v>6.2609903369994102</v>
      </c>
      <c r="S6" t="s">
        <v>5</v>
      </c>
    </row>
    <row r="7" spans="1:19" x14ac:dyDescent="0.3">
      <c r="A7">
        <v>2003</v>
      </c>
      <c r="B7" t="s">
        <v>14</v>
      </c>
      <c r="C7">
        <v>177.5</v>
      </c>
      <c r="D7" t="s">
        <v>5</v>
      </c>
      <c r="F7">
        <v>2003</v>
      </c>
      <c r="G7" t="s">
        <v>10</v>
      </c>
      <c r="H7">
        <v>174.5</v>
      </c>
      <c r="I7" t="s">
        <v>5</v>
      </c>
      <c r="K7">
        <v>2003</v>
      </c>
      <c r="L7" t="s">
        <v>15</v>
      </c>
      <c r="M7">
        <v>4.9328828623162497</v>
      </c>
      <c r="N7" t="s">
        <v>5</v>
      </c>
      <c r="P7">
        <v>2003</v>
      </c>
      <c r="Q7" t="s">
        <v>11</v>
      </c>
      <c r="R7">
        <v>12.6761275840185</v>
      </c>
      <c r="S7" t="s">
        <v>5</v>
      </c>
    </row>
    <row r="8" spans="1:19" x14ac:dyDescent="0.3">
      <c r="A8">
        <v>2004</v>
      </c>
      <c r="B8" t="s">
        <v>14</v>
      </c>
      <c r="C8">
        <v>164</v>
      </c>
      <c r="D8" t="s">
        <v>5</v>
      </c>
      <c r="F8">
        <v>2004</v>
      </c>
      <c r="G8" t="s">
        <v>10</v>
      </c>
      <c r="H8">
        <v>174.52</v>
      </c>
      <c r="I8" t="s">
        <v>5</v>
      </c>
      <c r="K8">
        <v>2004</v>
      </c>
      <c r="L8" t="s">
        <v>15</v>
      </c>
      <c r="M8">
        <v>20.808652046684799</v>
      </c>
      <c r="N8" t="s">
        <v>5</v>
      </c>
      <c r="P8">
        <v>2004</v>
      </c>
      <c r="Q8" t="s">
        <v>11</v>
      </c>
      <c r="R8">
        <v>10.797839290030799</v>
      </c>
      <c r="S8" t="s">
        <v>5</v>
      </c>
    </row>
    <row r="9" spans="1:19" x14ac:dyDescent="0.3">
      <c r="A9">
        <v>2006</v>
      </c>
      <c r="B9" t="s">
        <v>14</v>
      </c>
      <c r="C9">
        <v>164.42857142857099</v>
      </c>
      <c r="D9" t="s">
        <v>5</v>
      </c>
      <c r="F9">
        <v>2006</v>
      </c>
      <c r="G9" t="s">
        <v>10</v>
      </c>
      <c r="H9">
        <v>177.5</v>
      </c>
      <c r="I9" t="s">
        <v>5</v>
      </c>
      <c r="K9">
        <v>2006</v>
      </c>
      <c r="L9" t="s">
        <v>15</v>
      </c>
      <c r="M9">
        <v>11.9145307904275</v>
      </c>
      <c r="N9" t="s">
        <v>5</v>
      </c>
      <c r="P9">
        <v>2006</v>
      </c>
      <c r="Q9" t="s">
        <v>11</v>
      </c>
      <c r="R9">
        <v>9.9067076843347497</v>
      </c>
      <c r="S9" t="s">
        <v>5</v>
      </c>
    </row>
    <row r="10" spans="1:19" x14ac:dyDescent="0.3">
      <c r="A10">
        <v>2007</v>
      </c>
      <c r="B10" t="s">
        <v>14</v>
      </c>
      <c r="C10">
        <v>182.54545454545499</v>
      </c>
      <c r="D10" t="s">
        <v>5</v>
      </c>
      <c r="F10">
        <v>2007</v>
      </c>
      <c r="G10" t="s">
        <v>10</v>
      </c>
      <c r="H10">
        <v>183.49019607843101</v>
      </c>
      <c r="I10" t="s">
        <v>5</v>
      </c>
      <c r="K10">
        <v>2007</v>
      </c>
      <c r="L10" t="s">
        <v>15</v>
      </c>
      <c r="M10">
        <v>23.260970041525098</v>
      </c>
      <c r="N10" t="s">
        <v>5</v>
      </c>
      <c r="P10">
        <v>2007</v>
      </c>
      <c r="Q10" t="s">
        <v>11</v>
      </c>
      <c r="R10">
        <v>19.1565889959769</v>
      </c>
      <c r="S10" t="s">
        <v>5</v>
      </c>
    </row>
    <row r="11" spans="1:19" x14ac:dyDescent="0.3">
      <c r="A11">
        <v>2008</v>
      </c>
      <c r="B11" t="s">
        <v>14</v>
      </c>
      <c r="C11">
        <v>177.756097560976</v>
      </c>
      <c r="D11" t="s">
        <v>5</v>
      </c>
      <c r="F11">
        <v>2008</v>
      </c>
      <c r="G11" t="s">
        <v>10</v>
      </c>
      <c r="H11">
        <v>185.12595419847301</v>
      </c>
      <c r="I11" t="s">
        <v>5</v>
      </c>
      <c r="K11">
        <v>2008</v>
      </c>
      <c r="L11" t="s">
        <v>15</v>
      </c>
      <c r="M11">
        <v>12.653561422845399</v>
      </c>
      <c r="N11" t="s">
        <v>5</v>
      </c>
      <c r="P11">
        <v>2008</v>
      </c>
      <c r="Q11" t="s">
        <v>11</v>
      </c>
      <c r="R11">
        <v>9.5501987926292493</v>
      </c>
      <c r="S11" t="s">
        <v>5</v>
      </c>
    </row>
    <row r="12" spans="1:19" x14ac:dyDescent="0.3">
      <c r="A12">
        <v>2009</v>
      </c>
      <c r="B12" t="s">
        <v>14</v>
      </c>
      <c r="C12">
        <v>159.81818181818201</v>
      </c>
      <c r="D12" t="s">
        <v>5</v>
      </c>
      <c r="F12">
        <v>2009</v>
      </c>
      <c r="G12" t="s">
        <v>10</v>
      </c>
      <c r="H12">
        <v>179.56730769230799</v>
      </c>
      <c r="I12" t="s">
        <v>5</v>
      </c>
      <c r="K12">
        <v>2009</v>
      </c>
      <c r="L12" t="s">
        <v>15</v>
      </c>
      <c r="M12">
        <v>19.977259799354599</v>
      </c>
      <c r="N12" t="s">
        <v>5</v>
      </c>
      <c r="P12">
        <v>2009</v>
      </c>
      <c r="Q12" t="s">
        <v>11</v>
      </c>
      <c r="R12">
        <v>12.941814838803801</v>
      </c>
      <c r="S12" t="s">
        <v>5</v>
      </c>
    </row>
    <row r="13" spans="1:19" x14ac:dyDescent="0.3">
      <c r="A13">
        <v>2010</v>
      </c>
      <c r="B13" t="s">
        <v>14</v>
      </c>
      <c r="C13">
        <v>165.47499999999999</v>
      </c>
      <c r="D13" t="s">
        <v>5</v>
      </c>
      <c r="F13">
        <v>2010</v>
      </c>
      <c r="G13" t="s">
        <v>10</v>
      </c>
      <c r="H13">
        <v>175.171232876712</v>
      </c>
      <c r="I13" t="s">
        <v>5</v>
      </c>
      <c r="K13">
        <v>2010</v>
      </c>
      <c r="L13" t="s">
        <v>15</v>
      </c>
      <c r="M13">
        <v>16.668698594086798</v>
      </c>
      <c r="N13" t="s">
        <v>5</v>
      </c>
      <c r="P13">
        <v>2010</v>
      </c>
      <c r="Q13" t="s">
        <v>11</v>
      </c>
      <c r="R13">
        <v>10.663091089031401</v>
      </c>
      <c r="S13" t="s">
        <v>5</v>
      </c>
    </row>
    <row r="14" spans="1:19" x14ac:dyDescent="0.3">
      <c r="A14">
        <v>2011</v>
      </c>
      <c r="B14" t="s">
        <v>14</v>
      </c>
      <c r="C14">
        <v>178.85185185185199</v>
      </c>
      <c r="D14" t="s">
        <v>5</v>
      </c>
      <c r="F14">
        <v>2011</v>
      </c>
      <c r="G14" t="s">
        <v>10</v>
      </c>
      <c r="H14">
        <v>180.10975609756099</v>
      </c>
      <c r="I14" t="s">
        <v>5</v>
      </c>
      <c r="K14">
        <v>2011</v>
      </c>
      <c r="L14" t="s">
        <v>15</v>
      </c>
      <c r="M14">
        <v>26.107328331190701</v>
      </c>
      <c r="N14" t="s">
        <v>5</v>
      </c>
      <c r="P14">
        <v>2011</v>
      </c>
      <c r="Q14" t="s">
        <v>11</v>
      </c>
      <c r="R14">
        <v>14.475186173399999</v>
      </c>
      <c r="S14" t="s">
        <v>5</v>
      </c>
    </row>
    <row r="15" spans="1:19" x14ac:dyDescent="0.3">
      <c r="A15">
        <v>2012</v>
      </c>
      <c r="B15" t="s">
        <v>14</v>
      </c>
      <c r="C15">
        <v>185.826086956522</v>
      </c>
      <c r="D15" t="s">
        <v>5</v>
      </c>
      <c r="F15">
        <v>2012</v>
      </c>
      <c r="G15" t="s">
        <v>10</v>
      </c>
      <c r="H15">
        <v>191.344398340249</v>
      </c>
      <c r="I15" t="s">
        <v>5</v>
      </c>
      <c r="K15">
        <v>2012</v>
      </c>
      <c r="L15" t="s">
        <v>15</v>
      </c>
      <c r="M15">
        <v>16.935305923355202</v>
      </c>
      <c r="N15" t="s">
        <v>5</v>
      </c>
      <c r="P15">
        <v>2012</v>
      </c>
      <c r="Q15" t="s">
        <v>11</v>
      </c>
      <c r="R15">
        <v>14.8229010512112</v>
      </c>
      <c r="S15" t="s">
        <v>5</v>
      </c>
    </row>
    <row r="16" spans="1:19" x14ac:dyDescent="0.3">
      <c r="A16">
        <v>2013</v>
      </c>
      <c r="B16" t="s">
        <v>14</v>
      </c>
      <c r="C16">
        <v>203</v>
      </c>
      <c r="D16" t="s">
        <v>5</v>
      </c>
      <c r="F16">
        <v>2015</v>
      </c>
      <c r="G16" t="s">
        <v>10</v>
      </c>
      <c r="H16">
        <v>195</v>
      </c>
      <c r="I16" t="s">
        <v>5</v>
      </c>
      <c r="K16">
        <v>2013</v>
      </c>
      <c r="L16" t="s">
        <v>15</v>
      </c>
      <c r="M16">
        <v>46.669047558312101</v>
      </c>
      <c r="N16" t="s">
        <v>5</v>
      </c>
      <c r="P16">
        <v>2015</v>
      </c>
      <c r="Q16" t="s">
        <v>11</v>
      </c>
      <c r="R16">
        <v>17.111399708966001</v>
      </c>
      <c r="S16" t="s">
        <v>5</v>
      </c>
    </row>
    <row r="17" spans="1:19" x14ac:dyDescent="0.3">
      <c r="A17">
        <v>2015</v>
      </c>
      <c r="B17" t="s">
        <v>14</v>
      </c>
      <c r="C17">
        <v>189.333333333333</v>
      </c>
      <c r="D17" t="s">
        <v>5</v>
      </c>
      <c r="F17">
        <v>2018</v>
      </c>
      <c r="G17" t="s">
        <v>10</v>
      </c>
      <c r="H17">
        <v>176.625</v>
      </c>
      <c r="I17" t="s">
        <v>5</v>
      </c>
      <c r="K17">
        <v>2015</v>
      </c>
      <c r="L17" t="s">
        <v>15</v>
      </c>
      <c r="M17">
        <v>5.8594652770823199</v>
      </c>
      <c r="N17" t="s">
        <v>5</v>
      </c>
      <c r="P17">
        <v>2018</v>
      </c>
      <c r="Q17" t="s">
        <v>11</v>
      </c>
      <c r="R17">
        <v>7.1101034752365901</v>
      </c>
      <c r="S17" t="s">
        <v>5</v>
      </c>
    </row>
    <row r="18" spans="1:19" x14ac:dyDescent="0.3">
      <c r="A18">
        <v>2017</v>
      </c>
      <c r="B18" t="s">
        <v>14</v>
      </c>
      <c r="C18">
        <v>223.5</v>
      </c>
      <c r="D18" t="s">
        <v>5</v>
      </c>
      <c r="K18">
        <v>2017</v>
      </c>
      <c r="L18" t="s">
        <v>15</v>
      </c>
      <c r="M18">
        <v>31.583223394707499</v>
      </c>
      <c r="N18" t="s">
        <v>5</v>
      </c>
    </row>
    <row r="19" spans="1:19" x14ac:dyDescent="0.3">
      <c r="A19">
        <v>2018</v>
      </c>
      <c r="B19" t="s">
        <v>14</v>
      </c>
      <c r="C19">
        <v>216.45454545454501</v>
      </c>
      <c r="D19" t="s">
        <v>5</v>
      </c>
      <c r="K19">
        <v>2018</v>
      </c>
      <c r="L19" t="s">
        <v>15</v>
      </c>
      <c r="M19">
        <v>26.2044409837861</v>
      </c>
      <c r="N19" t="s">
        <v>5</v>
      </c>
    </row>
    <row r="20" spans="1:19" x14ac:dyDescent="0.3">
      <c r="A20">
        <v>2019</v>
      </c>
      <c r="B20" t="s">
        <v>14</v>
      </c>
      <c r="C20">
        <v>189.771428571429</v>
      </c>
      <c r="D20" t="s">
        <v>5</v>
      </c>
      <c r="K20">
        <v>2019</v>
      </c>
      <c r="L20" t="s">
        <v>15</v>
      </c>
      <c r="M20">
        <v>20.8412567565701</v>
      </c>
      <c r="N20" t="s">
        <v>5</v>
      </c>
    </row>
    <row r="21" spans="1:19" x14ac:dyDescent="0.3">
      <c r="A21" t="s">
        <v>24</v>
      </c>
      <c r="C21">
        <f>AVERAGE(C3:C20)</f>
        <v>182.65984545486285</v>
      </c>
      <c r="H21">
        <f>AVERAGE(H3:H20)</f>
        <v>181.40239073960072</v>
      </c>
      <c r="M21">
        <f>AVERAGE(M3:M20)</f>
        <v>19.41002522210735</v>
      </c>
      <c r="R21">
        <f>AVERAGE(R3:R20)</f>
        <v>11.639599665553796</v>
      </c>
    </row>
    <row r="23" spans="1:19" x14ac:dyDescent="0.3">
      <c r="A23" s="1" t="s">
        <v>25</v>
      </c>
      <c r="C23">
        <f>C21-2*M21</f>
        <v>143.83979501064815</v>
      </c>
      <c r="H23">
        <f>H21-2*R21</f>
        <v>158.12319140849314</v>
      </c>
    </row>
    <row r="24" spans="1:19" x14ac:dyDescent="0.3">
      <c r="A24" s="1" t="s">
        <v>26</v>
      </c>
      <c r="C24">
        <f>C21+2*M21</f>
        <v>221.47989589907755</v>
      </c>
      <c r="H24">
        <f>H21+2*R21</f>
        <v>204.6815900707083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dfo_data_out_condition_only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Lisa.Crozier</dc:creator>
  <cp:lastModifiedBy>Lisa.Crozier</cp:lastModifiedBy>
  <dcterms:created xsi:type="dcterms:W3CDTF">2026-10-16T19:08:17Z</dcterms:created>
  <dcterms:modified xsi:type="dcterms:W3CDTF">2026-10-16T19:08:17Z</dcterms:modified>
</cp:coreProperties>
</file>