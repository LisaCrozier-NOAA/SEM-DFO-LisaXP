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.Crozier\Documents\Marine survival\Doug results\analyzeAKindices\LisaXP\data\"/>
    </mc:Choice>
  </mc:AlternateContent>
  <xr:revisionPtr revIDLastSave="0" documentId="8_{5DF15DB9-2554-4ECB-B67F-DF9A72AD4EA1}" xr6:coauthVersionLast="47" xr6:coauthVersionMax="47" xr10:uidLastSave="{00000000-0000-0000-0000-000000000000}"/>
  <bookViews>
    <workbookView xWindow="28680" yWindow="-120" windowWidth="29040" windowHeight="15720"/>
  </bookViews>
  <sheets>
    <sheet name="Table1 (Page 7)" sheetId="2" r:id="rId1"/>
    <sheet name="Killer_whales_BC_2025" sheetId="1" r:id="rId2"/>
  </sheets>
  <definedNames>
    <definedName name="ExternalData_1" localSheetId="0" hidden="1">'Table1 (Page 7)'!$A$1:$G$12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  <c r="I14" i="1"/>
  <c r="I15" i="1"/>
  <c r="I16" i="1"/>
  <c r="I17" i="1"/>
  <c r="I8" i="1"/>
</calcChain>
</file>

<file path=xl/connections.xml><?xml version="1.0" encoding="utf-8"?>
<connections xmlns="http://schemas.openxmlformats.org/spreadsheetml/2006/main">
  <connection id="1" keepAlive="1" name="Query - Table004 (Page 7)" description="Connection to the 'Table004 (Page 7)' query in the workbook." type="5" refreshedVersion="7" background="1" saveData="1">
    <dbPr connection="Provider=Microsoft.Mashup.OleDb.1;Data Source=$Workbook$;Location=&quot;Table004 (Page 7)&quot;;Extended Properties=&quot;&quot;" command="SELECT * FROM [Table004 (Page 7)]"/>
  </connection>
</connections>
</file>

<file path=xl/sharedStrings.xml><?xml version="1.0" encoding="utf-8"?>
<sst xmlns="http://schemas.openxmlformats.org/spreadsheetml/2006/main" count="53" uniqueCount="49">
  <si>
    <t>Dataset:</t>
  </si>
  <si>
    <t>Killer.whales.BC_2025</t>
  </si>
  <si>
    <t>Region:</t>
  </si>
  <si>
    <t>Source:</t>
  </si>
  <si>
    <t>22may25 e-mail from Lisa</t>
  </si>
  <si>
    <t>Contact:</t>
  </si>
  <si>
    <t>Year</t>
  </si>
  <si>
    <t>Value</t>
  </si>
  <si>
    <t>NA</t>
  </si>
  <si>
    <t>Minimum</t>
  </si>
  <si>
    <t>Maximum</t>
  </si>
  <si>
    <t>Best
estimate</t>
  </si>
  <si>
    <t>Uncensused
(%)</t>
  </si>
  <si>
    <t>Size change</t>
  </si>
  <si>
    <t>Percent growth</t>
  </si>
  <si>
    <t>272 (271)</t>
  </si>
  <si>
    <t>279 (287)</t>
  </si>
  <si>
    <t>114 (41.9)</t>
  </si>
  <si>
    <t>275 (275)</t>
  </si>
  <si>
    <t>279 (279)</t>
  </si>
  <si>
    <t>3 (1.1)</t>
  </si>
  <si>
    <t>289 (289)</t>
  </si>
  <si>
    <t>290 (292)</t>
  </si>
  <si>
    <t>29 (10)</t>
  </si>
  <si>
    <t>297 (297)</t>
  </si>
  <si>
    <t>298 (299)</t>
  </si>
  <si>
    <t>22 (7.4)</t>
  </si>
  <si>
    <t>301 (301)</t>
  </si>
  <si>
    <t>303 (306)</t>
  </si>
  <si>
    <t>61 (20.3)</t>
  </si>
  <si>
    <t>303 (303)</t>
  </si>
  <si>
    <t>307 (307)</t>
  </si>
  <si>
    <t>5 (1.7)</t>
  </si>
  <si>
    <t>311 (312)</t>
  </si>
  <si>
    <t>19 (6.3)</t>
  </si>
  <si>
    <t>313 (313)</t>
  </si>
  <si>
    <t>316 (317)</t>
  </si>
  <si>
    <t>17 (5.4)</t>
  </si>
  <si>
    <t>323 (323)</t>
  </si>
  <si>
    <t>327 (329)</t>
  </si>
  <si>
    <t>43 (13.3)</t>
  </si>
  <si>
    <t>335 (334)</t>
  </si>
  <si>
    <t>337 (341)</t>
  </si>
  <si>
    <t>74 (22)</t>
  </si>
  <si>
    <t>341 (340)</t>
  </si>
  <si>
    <t>345 (348)</t>
  </si>
  <si>
    <t>54 (15.8)</t>
  </si>
  <si>
    <t>olddat</t>
  </si>
  <si>
    <t>newreport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</si>
</sst>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33" borderId="10" xfId="0" applyFont="1" applyFill="1" applyBorder="1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247594050743664E-2"/>
          <c:y val="5.5594162612925643E-2"/>
          <c:w val="0.89019685039370078"/>
          <c:h val="0.84156466195721369"/>
        </c:manualLayout>
      </c:layout>
      <c:lineChart>
        <c:grouping val="standard"/>
        <c:varyColors val="0"/>
        <c:ser>
          <c:idx val="0"/>
          <c:order val="0"/>
          <c:tx>
            <c:strRef>
              <c:f>Killer_whales_BC_2025!$G$6</c:f>
              <c:strCache>
                <c:ptCount val="1"/>
                <c:pt idx="0">
                  <c:v>olddat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Killer_whales_BC_2025!$F$7:$F$17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Killer_whales_BC_2025!$G$7:$G$17</c:f>
              <c:numCache>
                <c:formatCode>General</c:formatCode>
                <c:ptCount val="11"/>
                <c:pt idx="0">
                  <c:v>257</c:v>
                </c:pt>
                <c:pt idx="1">
                  <c:v>261</c:v>
                </c:pt>
                <c:pt idx="2">
                  <c:v>261</c:v>
                </c:pt>
                <c:pt idx="3">
                  <c:v>261</c:v>
                </c:pt>
                <c:pt idx="4">
                  <c:v>261</c:v>
                </c:pt>
                <c:pt idx="5">
                  <c:v>261</c:v>
                </c:pt>
                <c:pt idx="6">
                  <c:v>261</c:v>
                </c:pt>
                <c:pt idx="7">
                  <c:v>261</c:v>
                </c:pt>
                <c:pt idx="8">
                  <c:v>261</c:v>
                </c:pt>
                <c:pt idx="9">
                  <c:v>261</c:v>
                </c:pt>
                <c:pt idx="10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4F-4632-BFC1-D983C5869DAF}"/>
            </c:ext>
          </c:extLst>
        </c:ser>
        <c:ser>
          <c:idx val="1"/>
          <c:order val="1"/>
          <c:tx>
            <c:strRef>
              <c:f>Killer_whales_BC_2025!$H$6</c:f>
              <c:strCache>
                <c:ptCount val="1"/>
                <c:pt idx="0">
                  <c:v>newreport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Killer_whales_BC_2025!$F$7:$F$17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cat>
          <c:val>
            <c:numRef>
              <c:f>Killer_whales_BC_2025!$H$7:$H$17</c:f>
              <c:numCache>
                <c:formatCode>General</c:formatCode>
                <c:ptCount val="11"/>
                <c:pt idx="0">
                  <c:v>272</c:v>
                </c:pt>
                <c:pt idx="1">
                  <c:v>275</c:v>
                </c:pt>
                <c:pt idx="2">
                  <c:v>289</c:v>
                </c:pt>
                <c:pt idx="3">
                  <c:v>297</c:v>
                </c:pt>
                <c:pt idx="4">
                  <c:v>301</c:v>
                </c:pt>
                <c:pt idx="5">
                  <c:v>303</c:v>
                </c:pt>
                <c:pt idx="6">
                  <c:v>303</c:v>
                </c:pt>
                <c:pt idx="7">
                  <c:v>313</c:v>
                </c:pt>
                <c:pt idx="8">
                  <c:v>323</c:v>
                </c:pt>
                <c:pt idx="9">
                  <c:v>337</c:v>
                </c:pt>
                <c:pt idx="10">
                  <c:v>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4F-4632-BFC1-D983C5869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916783"/>
        <c:axId val="525911375"/>
      </c:lineChart>
      <c:catAx>
        <c:axId val="525916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11375"/>
        <c:crosses val="autoZero"/>
        <c:auto val="1"/>
        <c:lblAlgn val="ctr"/>
        <c:lblOffset val="100"/>
        <c:noMultiLvlLbl val="0"/>
      </c:catAx>
      <c:valAx>
        <c:axId val="52591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91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</xdr:colOff>
      <xdr:row>20</xdr:row>
      <xdr:rowOff>56197</xdr:rowOff>
    </xdr:from>
    <xdr:to>
      <xdr:col>15</xdr:col>
      <xdr:colOff>363855</xdr:colOff>
      <xdr:row>35</xdr:row>
      <xdr:rowOff>82867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1B6D18-B9E2-4A52-9DE8-3B3A76448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Minimum" tableColumnId="2"/>
      <queryTableField id="3" name="Maximum" tableColumnId="3"/>
      <queryTableField id="4" name="Best_x000a_estimate" tableColumnId="4"/>
      <queryTableField id="5" name="Uncensused_x000a_(%)" tableColumnId="5"/>
      <queryTableField id="6" name="Size change" tableColumnId="6"/>
      <queryTableField id="7" name="Percent grow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004__Page_7" displayName="Table004__Page_7" ref="A1:G12" tableType="queryTable" totalsRowShown="0">
  <autoFilter ref="A1:G12"/>
  <tableColumns count="7">
    <tableColumn id="1" uniqueName="1" name="Year" queryTableFieldId="1"/>
    <tableColumn id="2" uniqueName="2" name="Minimum" queryTableFieldId="2" dataDxfId="2"/>
    <tableColumn id="3" uniqueName="3" name="Maximum" queryTableFieldId="3" dataDxfId="1"/>
    <tableColumn id="4" uniqueName="4" name="Best_x000a_estimate" queryTableFieldId="4"/>
    <tableColumn id="5" uniqueName="5" name="Uncensused_x000a_(%)" queryTableFieldId="5" dataDxfId="0"/>
    <tableColumn id="6" uniqueName="6" name="Size change" queryTableFieldId="6"/>
    <tableColumn id="7" uniqueName="7" name="Percent growth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C24" sqref="C24"/>
    </sheetView>
  </sheetViews>
  <sheetFormatPr defaultRowHeight="14.4" x14ac:dyDescent="0.3"/>
  <cols>
    <col min="1" max="1" width="7.109375" bestFit="1" customWidth="1"/>
    <col min="2" max="2" width="11.6640625" bestFit="1" customWidth="1"/>
    <col min="3" max="3" width="11.88671875" bestFit="1" customWidth="1"/>
    <col min="4" max="4" width="15.77734375" bestFit="1" customWidth="1"/>
    <col min="5" max="5" width="17.88671875" bestFit="1" customWidth="1"/>
    <col min="6" max="6" width="13.21875" bestFit="1" customWidth="1"/>
    <col min="7" max="7" width="16.5546875" bestFit="1" customWidth="1"/>
  </cols>
  <sheetData>
    <row r="1" spans="1:7" x14ac:dyDescent="0.3">
      <c r="A1" t="s">
        <v>6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>
        <v>2012</v>
      </c>
      <c r="B2" s="1" t="s">
        <v>15</v>
      </c>
      <c r="C2" s="1" t="s">
        <v>16</v>
      </c>
      <c r="D2">
        <v>272</v>
      </c>
      <c r="E2" s="1" t="s">
        <v>17</v>
      </c>
      <c r="F2">
        <v>6</v>
      </c>
      <c r="G2">
        <v>2.2999999999999998</v>
      </c>
    </row>
    <row r="3" spans="1:7" x14ac:dyDescent="0.3">
      <c r="A3">
        <v>2013</v>
      </c>
      <c r="B3" s="1" t="s">
        <v>18</v>
      </c>
      <c r="C3" s="1" t="s">
        <v>19</v>
      </c>
      <c r="D3">
        <v>275</v>
      </c>
      <c r="E3" s="1" t="s">
        <v>20</v>
      </c>
      <c r="F3">
        <v>3</v>
      </c>
      <c r="G3">
        <v>1.1000000000000001</v>
      </c>
    </row>
    <row r="4" spans="1:7" x14ac:dyDescent="0.3">
      <c r="A4">
        <v>2014</v>
      </c>
      <c r="B4" s="1" t="s">
        <v>21</v>
      </c>
      <c r="C4" s="1" t="s">
        <v>22</v>
      </c>
      <c r="D4">
        <v>289</v>
      </c>
      <c r="E4" s="1" t="s">
        <v>23</v>
      </c>
      <c r="F4">
        <v>14</v>
      </c>
      <c r="G4">
        <v>5.0999999999999996</v>
      </c>
    </row>
    <row r="5" spans="1:7" x14ac:dyDescent="0.3">
      <c r="A5">
        <v>2015</v>
      </c>
      <c r="B5" s="1" t="s">
        <v>24</v>
      </c>
      <c r="C5" s="1" t="s">
        <v>25</v>
      </c>
      <c r="D5">
        <v>297</v>
      </c>
      <c r="E5" s="1" t="s">
        <v>26</v>
      </c>
      <c r="F5">
        <v>8</v>
      </c>
      <c r="G5">
        <v>2.8</v>
      </c>
    </row>
    <row r="6" spans="1:7" x14ac:dyDescent="0.3">
      <c r="A6">
        <v>2016</v>
      </c>
      <c r="B6" s="1" t="s">
        <v>27</v>
      </c>
      <c r="C6" s="1" t="s">
        <v>28</v>
      </c>
      <c r="D6">
        <v>301</v>
      </c>
      <c r="E6" s="1" t="s">
        <v>29</v>
      </c>
      <c r="F6">
        <v>4</v>
      </c>
      <c r="G6">
        <v>1.3</v>
      </c>
    </row>
    <row r="7" spans="1:7" x14ac:dyDescent="0.3">
      <c r="A7">
        <v>2017</v>
      </c>
      <c r="B7" s="1" t="s">
        <v>30</v>
      </c>
      <c r="C7" s="1" t="s">
        <v>31</v>
      </c>
      <c r="D7">
        <v>303</v>
      </c>
      <c r="E7" s="1" t="s">
        <v>32</v>
      </c>
      <c r="F7">
        <v>2</v>
      </c>
      <c r="G7">
        <v>0.7</v>
      </c>
    </row>
    <row r="8" spans="1:7" x14ac:dyDescent="0.3">
      <c r="A8">
        <v>2018</v>
      </c>
      <c r="B8" s="1" t="s">
        <v>30</v>
      </c>
      <c r="C8" s="1" t="s">
        <v>33</v>
      </c>
      <c r="D8">
        <v>303</v>
      </c>
      <c r="E8" s="1" t="s">
        <v>34</v>
      </c>
      <c r="F8">
        <v>0</v>
      </c>
      <c r="G8">
        <v>0</v>
      </c>
    </row>
    <row r="9" spans="1:7" x14ac:dyDescent="0.3">
      <c r="A9">
        <v>2019</v>
      </c>
      <c r="B9" s="1" t="s">
        <v>35</v>
      </c>
      <c r="C9" s="1" t="s">
        <v>36</v>
      </c>
      <c r="D9">
        <v>313</v>
      </c>
      <c r="E9" s="1" t="s">
        <v>37</v>
      </c>
      <c r="F9">
        <v>10</v>
      </c>
      <c r="G9">
        <v>3.3</v>
      </c>
    </row>
    <row r="10" spans="1:7" x14ac:dyDescent="0.3">
      <c r="A10">
        <v>2020</v>
      </c>
      <c r="B10" s="1" t="s">
        <v>38</v>
      </c>
      <c r="C10" s="1" t="s">
        <v>39</v>
      </c>
      <c r="D10">
        <v>323</v>
      </c>
      <c r="E10" s="1" t="s">
        <v>40</v>
      </c>
      <c r="F10">
        <v>10</v>
      </c>
      <c r="G10">
        <v>3.2</v>
      </c>
    </row>
    <row r="11" spans="1:7" x14ac:dyDescent="0.3">
      <c r="A11">
        <v>2021</v>
      </c>
      <c r="B11" s="1" t="s">
        <v>41</v>
      </c>
      <c r="C11" s="1" t="s">
        <v>42</v>
      </c>
      <c r="D11">
        <v>337</v>
      </c>
      <c r="E11" s="1" t="s">
        <v>43</v>
      </c>
      <c r="F11">
        <v>14</v>
      </c>
      <c r="G11">
        <v>4.3</v>
      </c>
    </row>
    <row r="12" spans="1:7" x14ac:dyDescent="0.3">
      <c r="A12">
        <v>2022</v>
      </c>
      <c r="B12" s="1" t="s">
        <v>44</v>
      </c>
      <c r="C12" s="1" t="s">
        <v>45</v>
      </c>
      <c r="D12">
        <v>341</v>
      </c>
      <c r="E12" s="1" t="s">
        <v>46</v>
      </c>
      <c r="F12">
        <v>4</v>
      </c>
      <c r="G12">
        <v>1.2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I8" sqref="I8:I17"/>
    </sheetView>
  </sheetViews>
  <sheetFormatPr defaultRowHeight="14.4" x14ac:dyDescent="0.3"/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</row>
    <row r="3" spans="1:9" x14ac:dyDescent="0.3">
      <c r="A3" t="s">
        <v>3</v>
      </c>
      <c r="B3" t="s">
        <v>4</v>
      </c>
    </row>
    <row r="4" spans="1:9" x14ac:dyDescent="0.3">
      <c r="A4" t="s">
        <v>5</v>
      </c>
    </row>
    <row r="5" spans="1:9" x14ac:dyDescent="0.3">
      <c r="A5" t="s">
        <v>6</v>
      </c>
      <c r="B5" t="s">
        <v>7</v>
      </c>
    </row>
    <row r="6" spans="1:9" x14ac:dyDescent="0.3">
      <c r="A6">
        <v>1998</v>
      </c>
      <c r="B6">
        <v>208</v>
      </c>
      <c r="G6" t="s">
        <v>47</v>
      </c>
      <c r="H6" t="s">
        <v>48</v>
      </c>
    </row>
    <row r="7" spans="1:9" x14ac:dyDescent="0.3">
      <c r="A7">
        <v>1999</v>
      </c>
      <c r="B7">
        <v>200</v>
      </c>
      <c r="F7">
        <v>2012</v>
      </c>
      <c r="G7">
        <v>257</v>
      </c>
      <c r="H7" s="2">
        <v>272</v>
      </c>
    </row>
    <row r="8" spans="1:9" x14ac:dyDescent="0.3">
      <c r="A8">
        <v>2000</v>
      </c>
      <c r="B8">
        <v>203</v>
      </c>
      <c r="F8">
        <v>2013</v>
      </c>
      <c r="G8">
        <v>261</v>
      </c>
      <c r="H8" s="3">
        <v>275</v>
      </c>
      <c r="I8">
        <f>H8/H7</f>
        <v>1.0110294117647058</v>
      </c>
    </row>
    <row r="9" spans="1:9" x14ac:dyDescent="0.3">
      <c r="A9">
        <v>2001</v>
      </c>
      <c r="B9">
        <v>204</v>
      </c>
      <c r="F9">
        <v>2014</v>
      </c>
      <c r="G9">
        <v>261</v>
      </c>
      <c r="H9" s="2">
        <v>289</v>
      </c>
      <c r="I9">
        <f t="shared" ref="I9:I17" si="0">H9/H8</f>
        <v>1.050909090909091</v>
      </c>
    </row>
    <row r="10" spans="1:9" x14ac:dyDescent="0.3">
      <c r="A10">
        <v>2002</v>
      </c>
      <c r="B10">
        <v>220</v>
      </c>
      <c r="F10">
        <v>2015</v>
      </c>
      <c r="G10">
        <v>261</v>
      </c>
      <c r="H10" s="3">
        <v>297</v>
      </c>
      <c r="I10">
        <f t="shared" si="0"/>
        <v>1.027681660899654</v>
      </c>
    </row>
    <row r="11" spans="1:9" x14ac:dyDescent="0.3">
      <c r="A11">
        <v>2003</v>
      </c>
      <c r="B11">
        <v>230</v>
      </c>
      <c r="F11">
        <v>2016</v>
      </c>
      <c r="G11">
        <v>261</v>
      </c>
      <c r="H11" s="2">
        <v>301</v>
      </c>
      <c r="I11">
        <f t="shared" si="0"/>
        <v>1.0134680134680134</v>
      </c>
    </row>
    <row r="12" spans="1:9" x14ac:dyDescent="0.3">
      <c r="A12">
        <v>2004</v>
      </c>
      <c r="B12">
        <v>239</v>
      </c>
      <c r="F12">
        <v>2017</v>
      </c>
      <c r="G12">
        <v>261</v>
      </c>
      <c r="H12" s="3">
        <v>303</v>
      </c>
      <c r="I12">
        <f t="shared" si="0"/>
        <v>1.0066445182724253</v>
      </c>
    </row>
    <row r="13" spans="1:9" x14ac:dyDescent="0.3">
      <c r="A13">
        <v>2005</v>
      </c>
      <c r="B13">
        <v>240</v>
      </c>
      <c r="F13">
        <v>2018</v>
      </c>
      <c r="G13">
        <v>261</v>
      </c>
      <c r="H13" s="2">
        <v>303</v>
      </c>
      <c r="I13">
        <f t="shared" si="0"/>
        <v>1</v>
      </c>
    </row>
    <row r="14" spans="1:9" x14ac:dyDescent="0.3">
      <c r="A14">
        <v>2006</v>
      </c>
      <c r="B14">
        <v>250</v>
      </c>
      <c r="F14">
        <v>2019</v>
      </c>
      <c r="G14">
        <v>261</v>
      </c>
      <c r="H14" s="3">
        <v>313</v>
      </c>
      <c r="I14">
        <f t="shared" si="0"/>
        <v>1.033003300330033</v>
      </c>
    </row>
    <row r="15" spans="1:9" x14ac:dyDescent="0.3">
      <c r="A15">
        <v>2007</v>
      </c>
      <c r="B15">
        <v>256</v>
      </c>
      <c r="F15">
        <v>2020</v>
      </c>
      <c r="G15">
        <v>261</v>
      </c>
      <c r="H15" s="2">
        <v>323</v>
      </c>
      <c r="I15">
        <f t="shared" si="0"/>
        <v>1.0319488817891374</v>
      </c>
    </row>
    <row r="16" spans="1:9" x14ac:dyDescent="0.3">
      <c r="A16">
        <v>2008</v>
      </c>
      <c r="B16">
        <v>261</v>
      </c>
      <c r="F16">
        <v>2021</v>
      </c>
      <c r="G16">
        <v>261</v>
      </c>
      <c r="H16" s="3">
        <v>337</v>
      </c>
      <c r="I16">
        <f t="shared" si="0"/>
        <v>1.0433436532507741</v>
      </c>
    </row>
    <row r="17" spans="1:9" x14ac:dyDescent="0.3">
      <c r="A17">
        <v>2009</v>
      </c>
      <c r="B17">
        <v>260</v>
      </c>
      <c r="F17">
        <v>2022</v>
      </c>
      <c r="G17">
        <v>261</v>
      </c>
      <c r="H17" s="2">
        <v>341</v>
      </c>
      <c r="I17">
        <f t="shared" si="0"/>
        <v>1.0118694362017804</v>
      </c>
    </row>
    <row r="18" spans="1:9" x14ac:dyDescent="0.3">
      <c r="A18">
        <v>2010</v>
      </c>
      <c r="B18">
        <v>255</v>
      </c>
    </row>
    <row r="19" spans="1:9" x14ac:dyDescent="0.3">
      <c r="A19">
        <v>2011</v>
      </c>
      <c r="B19">
        <v>253</v>
      </c>
    </row>
    <row r="20" spans="1:9" x14ac:dyDescent="0.3">
      <c r="A20">
        <v>2012</v>
      </c>
      <c r="B20">
        <v>257</v>
      </c>
      <c r="C20" s="2">
        <v>272</v>
      </c>
    </row>
    <row r="21" spans="1:9" x14ac:dyDescent="0.3">
      <c r="A21">
        <v>2013</v>
      </c>
      <c r="B21">
        <v>261</v>
      </c>
      <c r="C21" s="3">
        <v>275</v>
      </c>
    </row>
    <row r="22" spans="1:9" x14ac:dyDescent="0.3">
      <c r="A22">
        <v>2014</v>
      </c>
      <c r="B22">
        <v>261</v>
      </c>
      <c r="C22" s="2">
        <v>289</v>
      </c>
    </row>
    <row r="23" spans="1:9" x14ac:dyDescent="0.3">
      <c r="A23">
        <v>2015</v>
      </c>
      <c r="B23">
        <v>261</v>
      </c>
      <c r="C23" s="3">
        <v>297</v>
      </c>
    </row>
    <row r="24" spans="1:9" x14ac:dyDescent="0.3">
      <c r="A24">
        <v>2016</v>
      </c>
      <c r="B24">
        <v>261</v>
      </c>
      <c r="C24" s="2">
        <v>301</v>
      </c>
    </row>
    <row r="25" spans="1:9" x14ac:dyDescent="0.3">
      <c r="A25">
        <v>2017</v>
      </c>
      <c r="B25">
        <v>261</v>
      </c>
      <c r="C25" s="3">
        <v>303</v>
      </c>
    </row>
    <row r="26" spans="1:9" x14ac:dyDescent="0.3">
      <c r="A26">
        <v>2018</v>
      </c>
      <c r="B26">
        <v>261</v>
      </c>
      <c r="C26" s="2">
        <v>303</v>
      </c>
    </row>
    <row r="27" spans="1:9" x14ac:dyDescent="0.3">
      <c r="A27">
        <v>2019</v>
      </c>
      <c r="B27">
        <v>261</v>
      </c>
      <c r="C27" s="3">
        <v>313</v>
      </c>
    </row>
    <row r="28" spans="1:9" x14ac:dyDescent="0.3">
      <c r="A28">
        <v>2020</v>
      </c>
      <c r="B28">
        <v>261</v>
      </c>
      <c r="C28" s="2">
        <v>323</v>
      </c>
    </row>
    <row r="29" spans="1:9" x14ac:dyDescent="0.3">
      <c r="A29">
        <v>2021</v>
      </c>
      <c r="B29">
        <v>261</v>
      </c>
      <c r="C29" s="3">
        <v>337</v>
      </c>
    </row>
    <row r="30" spans="1:9" x14ac:dyDescent="0.3">
      <c r="A30">
        <v>2022</v>
      </c>
      <c r="B30">
        <v>261</v>
      </c>
      <c r="C30" s="2">
        <v>341</v>
      </c>
    </row>
    <row r="31" spans="1:9" x14ac:dyDescent="0.3">
      <c r="A31">
        <v>2023</v>
      </c>
      <c r="B31">
        <v>261</v>
      </c>
    </row>
    <row r="32" spans="1:9" x14ac:dyDescent="0.3">
      <c r="A32">
        <v>2024</v>
      </c>
      <c r="B32" t="s">
        <v>8</v>
      </c>
    </row>
    <row r="33" spans="1:2" x14ac:dyDescent="0.3">
      <c r="A33">
        <v>2025</v>
      </c>
      <c r="B33" t="s">
        <v>8</v>
      </c>
    </row>
    <row r="34" spans="1:2" x14ac:dyDescent="0.3">
      <c r="A34">
        <v>2026</v>
      </c>
      <c r="B34" t="s">
        <v>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6EF4C9-3D61-4C28-89C5-B9C0D2610C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 (Page 7)</vt:lpstr>
      <vt:lpstr>Killer_whales_BC_2025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Lisa.Crozier</dc:creator>
  <cp:lastModifiedBy>Lisa.Crozier</cp:lastModifiedBy>
  <dcterms:created xsi:type="dcterms:W3CDTF">2026-06-24T23:08:30Z</dcterms:created>
  <dcterms:modified xsi:type="dcterms:W3CDTF">2026-06-24T23:08:30Z</dcterms:modified>
</cp:coreProperties>
</file>