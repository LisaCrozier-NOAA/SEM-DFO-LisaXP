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isa.Crozier\Documents\Marine survival\SEM-DFO-LisaXP\"/>
    </mc:Choice>
  </mc:AlternateContent>
  <xr:revisionPtr revIDLastSave="0" documentId="13_ncr:40009_{3DCB101F-8686-4FE2-8AB7-3072C3AC4DD9}" xr6:coauthVersionLast="47" xr6:coauthVersionMax="47" xr10:uidLastSave="{00000000-0000-0000-0000-000000000000}"/>
  <bookViews>
    <workbookView xWindow="-108" yWindow="-108" windowWidth="23256" windowHeight="12456" firstSheet="1" activeTab="3"/>
  </bookViews>
  <sheets>
    <sheet name="Lisa_guilds" sheetId="1" r:id="rId1"/>
    <sheet name="citation info" sheetId="2" r:id="rId2"/>
    <sheet name="R table" sheetId="7" r:id="rId3"/>
    <sheet name="final column id" sheetId="11" r:id="rId4"/>
    <sheet name="salmon" sheetId="6" r:id="rId5"/>
    <sheet name="sablefish" sheetId="3" r:id="rId6"/>
    <sheet name="pollock" sheetId="4" r:id="rId7"/>
    <sheet name="halibut" sheetId="10" r:id="rId8"/>
    <sheet name="Pcod" sheetId="9" r:id="rId9"/>
    <sheet name="AF" sheetId="5" r:id="rId10"/>
    <sheet name="sharks" sheetId="8" r:id="rId11"/>
    <sheet name="herring" sheetId="12" r:id="rId12"/>
  </sheets>
  <definedNames>
    <definedName name="_xlnm._FilterDatabase" localSheetId="0" hidden="1">Lisa_guilds!$A$1:$V$140</definedName>
  </definedNames>
  <calcPr calcId="0"/>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7" i="6" l="1"/>
</calcChain>
</file>

<file path=xl/sharedStrings.xml><?xml version="1.0" encoding="utf-8"?>
<sst xmlns="http://schemas.openxmlformats.org/spreadsheetml/2006/main" count="3606" uniqueCount="904">
  <si>
    <t>ID</t>
  </si>
  <si>
    <t>indicator</t>
  </si>
  <si>
    <t>shortName</t>
  </si>
  <si>
    <t>dataset</t>
  </si>
  <si>
    <t>region</t>
  </si>
  <si>
    <t>subregion</t>
  </si>
  <si>
    <t>trophicGroup</t>
  </si>
  <si>
    <t>impute</t>
  </si>
  <si>
    <t>logTransform</t>
  </si>
  <si>
    <t>incl2026</t>
  </si>
  <si>
    <t>SEMnode</t>
  </si>
  <si>
    <t>exclusionReason</t>
  </si>
  <si>
    <t>shortName_09oct26</t>
  </si>
  <si>
    <t>replacementShortName</t>
  </si>
  <si>
    <t>pastGuild</t>
  </si>
  <si>
    <t>latestGuild</t>
  </si>
  <si>
    <t>source_short</t>
  </si>
  <si>
    <t>source_raw</t>
  </si>
  <si>
    <t>node</t>
  </si>
  <si>
    <t>guild_main</t>
  </si>
  <si>
    <t>guild_sub</t>
  </si>
  <si>
    <t>Lisa_15Oct2026</t>
  </si>
  <si>
    <t>Red_phal_WS_2026</t>
  </si>
  <si>
    <t>Westport_2026</t>
  </si>
  <si>
    <t>CC</t>
  </si>
  <si>
    <t>NCC</t>
  </si>
  <si>
    <t>Seabird</t>
  </si>
  <si>
    <t>linearKeepZeros</t>
  </si>
  <si>
    <t>none</t>
  </si>
  <si>
    <t>Y</t>
  </si>
  <si>
    <t>PreyNCC</t>
  </si>
  <si>
    <t>straggler_NS</t>
  </si>
  <si>
    <t>NA</t>
  </si>
  <si>
    <t>01.ZooPreyNCC_WPbirds</t>
  </si>
  <si>
    <t>WPbirds</t>
  </si>
  <si>
    <t>BenningtonS_Annual_species_summary9024.csv</t>
  </si>
  <si>
    <t>X01</t>
  </si>
  <si>
    <t>01.ZooPreyNCC</t>
  </si>
  <si>
    <t>Red_necked_phal_WS_2026</t>
  </si>
  <si>
    <t>01.ZooPreyNCC_WPbirds_0</t>
  </si>
  <si>
    <t>Sabine_gull_WS_2026</t>
  </si>
  <si>
    <t>01.ZooPreyNCC_WPbirds_1</t>
  </si>
  <si>
    <t>Cassins_auklet</t>
  </si>
  <si>
    <t>cassAuk_JSOES_2026</t>
  </si>
  <si>
    <t>JSOES_2026</t>
  </si>
  <si>
    <t>bird</t>
  </si>
  <si>
    <t>linear</t>
  </si>
  <si>
    <t>01.ZooPreyNCC_JSOES</t>
  </si>
  <si>
    <t>JSOES</t>
  </si>
  <si>
    <t>MorganC_Bird_Density_qy1_Crosstab_Crozier_CAAU_COMU_SOSH_8.5.25.xlsx</t>
  </si>
  <si>
    <t>sumPreyOfPrey_planktonJun_2026</t>
  </si>
  <si>
    <t>plankton_2026</t>
  </si>
  <si>
    <t>plank</t>
  </si>
  <si>
    <t>MorganC_Bongo_Biomass_Crozier_CherylShinyApp1.22.26.xlsx</t>
  </si>
  <si>
    <t>sumPrey_planktonJun_2026</t>
  </si>
  <si>
    <t>Cassin_s_aukl_WS_2026</t>
  </si>
  <si>
    <t>01.ZooPreyNCC_JSOES_0</t>
  </si>
  <si>
    <t>Habitat compression index - 43.5-48N</t>
  </si>
  <si>
    <t>habCompInd</t>
  </si>
  <si>
    <t>CCIEA</t>
  </si>
  <si>
    <t>habitat</t>
  </si>
  <si>
    <t>01.ZooPreyNCC_JSOES_1</t>
  </si>
  <si>
    <t>erddap</t>
  </si>
  <si>
    <t>https://oceanview.pfeg.noaa.gov/erddap/files/cciea_OC_HCI/</t>
  </si>
  <si>
    <t>Epac_adult_density</t>
  </si>
  <si>
    <t>Epac_NHL_2026</t>
  </si>
  <si>
    <t>NHL_2026</t>
  </si>
  <si>
    <t>linearKeepNegative</t>
  </si>
  <si>
    <t>01.ZooPreyNCC_NHL</t>
  </si>
  <si>
    <t>NHL</t>
  </si>
  <si>
    <t>FisherJ_Plankton_Indices_1998-2021.csv</t>
  </si>
  <si>
    <t>Tspin_adult_density</t>
  </si>
  <si>
    <t>Tspin_NHL_2026</t>
  </si>
  <si>
    <t>copeLogBiomassNorth_2026</t>
  </si>
  <si>
    <t>FisherJ_NH05_NH25_Northern_Southern_Cope_Biomass_033026.xlsx</t>
  </si>
  <si>
    <t>copeLogBiomassSouth_2026</t>
  </si>
  <si>
    <t>NHLlogSum_win_05_2026</t>
  </si>
  <si>
    <t>01.ZooPreyNCC_NHL_0</t>
  </si>
  <si>
    <t>NHLlogSum_win_15_2026</t>
  </si>
  <si>
    <t>01.ZooPreyNCC_NHL_1</t>
  </si>
  <si>
    <t>NHLlogSum_win_25_2026</t>
  </si>
  <si>
    <t>01.ZooPreyNCC_NHL_2</t>
  </si>
  <si>
    <t>Moon.jelly__2025</t>
  </si>
  <si>
    <t>MoonJelly__2025</t>
  </si>
  <si>
    <t>data_2025</t>
  </si>
  <si>
    <t>cnid</t>
  </si>
  <si>
    <t>02.CompJellyNCC</t>
  </si>
  <si>
    <t>MorganC_Markus_Min_Trawl_CTD_Chl_Nuts_Thorson_Scheuerell_5.2.24_FINAL.xlsx</t>
  </si>
  <si>
    <t>X02</t>
  </si>
  <si>
    <t>Pyrosoma.atlanticum__2025</t>
  </si>
  <si>
    <t>PyrosomaAtlanticum__2025</t>
  </si>
  <si>
    <t>Sea.nettle__2025</t>
  </si>
  <si>
    <t>SeaNettle__2025</t>
  </si>
  <si>
    <t>IchNear_2026</t>
  </si>
  <si>
    <t>03.FishPreyNCC</t>
  </si>
  <si>
    <t>https://www.fisheries.noaa.gov/west-coast/science-data/ocean-conditions-indicators-trends</t>
  </si>
  <si>
    <t>X03</t>
  </si>
  <si>
    <t>YH Common murre diet - Herring/Sardines - NoCC</t>
  </si>
  <si>
    <t>comMurreDietHerrSard_Yaquina_NCC</t>
  </si>
  <si>
    <t>fish</t>
  </si>
  <si>
    <t>CCIEA_website</t>
  </si>
  <si>
    <t>https://oceanview.pfeg.noaa.gov/erddap/files/cciea_B_AS_DIET/</t>
  </si>
  <si>
    <t>YH Common murre diet - Rockfish - NoCC</t>
  </si>
  <si>
    <t>comMurreDietRock_Yaquina_NCC</t>
  </si>
  <si>
    <t>YH Common murre diet - Sandlance - NoCC</t>
  </si>
  <si>
    <t>comMurreDietSLance_Yaquina_NCC</t>
  </si>
  <si>
    <t>YH Common murre diet - Smelt - NoCC</t>
  </si>
  <si>
    <t>comMurreDietSmelt_Yaquina_NCC</t>
  </si>
  <si>
    <t>lag_log_abund_anchovy</t>
  </si>
  <si>
    <t>lagAbundAnchovy</t>
  </si>
  <si>
    <t>WCVI</t>
  </si>
  <si>
    <t>DFO</t>
  </si>
  <si>
    <t>SEM-DFO-NMFS/Data/wcvi</t>
  </si>
  <si>
    <t>DI Rhinoceros auklet diet - Rockfish - NoCC</t>
  </si>
  <si>
    <t>rhinoAukDietRock_NCC</t>
  </si>
  <si>
    <t>Surfsmelt - NCC</t>
  </si>
  <si>
    <t>surfSmelt_NCC</t>
  </si>
  <si>
    <t>https://oceanview.pfeg.noaa.gov/erddap/files/cciea_EI_FPN/</t>
  </si>
  <si>
    <t>Whitebait smelt - NCC</t>
  </si>
  <si>
    <t>whiteBaitSmelt_NCC</t>
  </si>
  <si>
    <t>YOY rockfish - NCC</t>
  </si>
  <si>
    <t>yoyRock_JSOES_NCC</t>
  </si>
  <si>
    <t>HakeAge1_2025</t>
  </si>
  <si>
    <t>SEM_data_2025</t>
  </si>
  <si>
    <t>03.FishPreyNCC_0</t>
  </si>
  <si>
    <t>Hake_stock_assessment</t>
  </si>
  <si>
    <t>Grandin_et_al_2024</t>
  </si>
  <si>
    <t>marketsquid_gam</t>
  </si>
  <si>
    <t>marketsquid_GAM_2025</t>
  </si>
  <si>
    <t>mol</t>
  </si>
  <si>
    <t>04.CompFishNCC</t>
  </si>
  <si>
    <t>MuhlingB_SDM</t>
  </si>
  <si>
    <t>https://coastwatch.pfeg.noaa.gov/erddap/FRD_CPS_SDMs</t>
  </si>
  <si>
    <t>X04</t>
  </si>
  <si>
    <t>California.market.squid__2025</t>
  </si>
  <si>
    <t>CaliforniaMarketSquid__2025</t>
  </si>
  <si>
    <t>04.CompFishNCC_0</t>
  </si>
  <si>
    <t>Pacific.pompano__2025</t>
  </si>
  <si>
    <t>PacificPompano__2025</t>
  </si>
  <si>
    <t>04.CompFishNCC_1</t>
  </si>
  <si>
    <t>Sablefish__2025</t>
  </si>
  <si>
    <t>Sablefish__JSOES_2025</t>
  </si>
  <si>
    <t>04.CompFishNCC_2</t>
  </si>
  <si>
    <t>log_abund_pacific_herring</t>
  </si>
  <si>
    <t>abundHerring</t>
  </si>
  <si>
    <t>05.ForageFishNCC</t>
  </si>
  <si>
    <t>SEM-DFO-NMFS/Data/wcvi; unlagged in preprocessing</t>
  </si>
  <si>
    <t>X05</t>
  </si>
  <si>
    <t>log_abund_pacific_sardine</t>
  </si>
  <si>
    <t>abundSardine</t>
  </si>
  <si>
    <t>sardine_gam</t>
  </si>
  <si>
    <t>sardine_GAM_2025</t>
  </si>
  <si>
    <t>Pacific sardine - NCC</t>
  </si>
  <si>
    <t>sardine_NCC</t>
  </si>
  <si>
    <t>anchovy_gam</t>
  </si>
  <si>
    <t>anchovy_GAM_2025</t>
  </si>
  <si>
    <t>05.ForageFishNCC_0</t>
  </si>
  <si>
    <t>herring_gam</t>
  </si>
  <si>
    <t>herring_GAM_2025</t>
  </si>
  <si>
    <t>05.ForageFishNCC_1</t>
  </si>
  <si>
    <t>Pacific herring - NCC</t>
  </si>
  <si>
    <t>herring_NCC</t>
  </si>
  <si>
    <t>05.ForageFishNCC_2</t>
  </si>
  <si>
    <t>IGF_mu_2025</t>
  </si>
  <si>
    <t>Growth</t>
  </si>
  <si>
    <t>06.Cond1NCC</t>
  </si>
  <si>
    <t>MorganC_2000_2022_IGF_MayJune_Subs_Year_Chin_Year_Coho_7.5.23.xlsx</t>
  </si>
  <si>
    <t>X06</t>
  </si>
  <si>
    <t>StomFull.Jun_2025</t>
  </si>
  <si>
    <t>StomFull_Jun_2025</t>
  </si>
  <si>
    <t>MorganC_StomachFullnesCKInterior_Crozier082125.xlsx</t>
  </si>
  <si>
    <t>Lmu_IntSprJunH_2025</t>
  </si>
  <si>
    <t>06.Cond1NCC_0</t>
  </si>
  <si>
    <t>MorganC_1998_to_2022_Chinook_All_7.27.23.xlsx</t>
  </si>
  <si>
    <t>Lmu_IntSprMayW_2025</t>
  </si>
  <si>
    <t>06.Cond1NCC_1</t>
  </si>
  <si>
    <t>StomFull.May_2025</t>
  </si>
  <si>
    <t>StomFull_May_2025</t>
  </si>
  <si>
    <t>06.Cond1NCC_2</t>
  </si>
  <si>
    <t>abund.sdmTMB.junIntSpr_2025</t>
  </si>
  <si>
    <t>abund_sdmTMB_junIntSpr_2025</t>
  </si>
  <si>
    <t>Abundance</t>
  </si>
  <si>
    <t>07.Cond2NCC</t>
  </si>
  <si>
    <t>MarkusMin</t>
  </si>
  <si>
    <t>MinM_markus_interior_spring_chinook_yearlings_index.csv</t>
  </si>
  <si>
    <t>X07</t>
  </si>
  <si>
    <t>cpue_IntSprJunHW_2025</t>
  </si>
  <si>
    <t>MorganC_Crozier_Hippe_Yearling_Int_Sp_F_Chinook_8.25.25.xlsx</t>
  </si>
  <si>
    <t>Brown_peli_1_WS_2026</t>
  </si>
  <si>
    <t>PredNCC</t>
  </si>
  <si>
    <t>notsalmonpred_or_grouped</t>
  </si>
  <si>
    <t>08.PredBirdNCC</t>
  </si>
  <si>
    <t>X08</t>
  </si>
  <si>
    <t>Caspian_tern_2_WS_2026</t>
  </si>
  <si>
    <t>Common_murre_9_WS_2026</t>
  </si>
  <si>
    <t>Cormorants_4_WS_2026</t>
  </si>
  <si>
    <t>DC_corm_3_WS_2026</t>
  </si>
  <si>
    <t>Fish_eating_alcids_5_WS_2026</t>
  </si>
  <si>
    <t>Shearwaters_11_WS_2026</t>
  </si>
  <si>
    <t>Sooty_shrw_10_WS_2026</t>
  </si>
  <si>
    <t>Western_grebe_6_WS_2026</t>
  </si>
  <si>
    <t>shearwater</t>
  </si>
  <si>
    <t>sootyShear_JSOES_2026</t>
  </si>
  <si>
    <t>murre</t>
  </si>
  <si>
    <t>commonMurre_JSOES_2026</t>
  </si>
  <si>
    <t>08.PredBirdNCC_b_0</t>
  </si>
  <si>
    <t>08.PredBirdNCC_b</t>
  </si>
  <si>
    <t>Large_gulls_7_WS_2026</t>
  </si>
  <si>
    <t>08.PredBirdNCC_b_1</t>
  </si>
  <si>
    <t>Loons_8_WS_2026</t>
  </si>
  <si>
    <t>08.PredBirdNCC_b_2</t>
  </si>
  <si>
    <t>Chinook abundance Snake fall</t>
  </si>
  <si>
    <t>ChinAbundSnakeFall</t>
  </si>
  <si>
    <t>Col</t>
  </si>
  <si>
    <t>09.PredFishNCC</t>
  </si>
  <si>
    <t>https://oceanview.pfeg.noaa.gov/erddap/files/cciea_SM_ORWA_CH_ABND/</t>
  </si>
  <si>
    <t>X09</t>
  </si>
  <si>
    <t>Chinook abundance Snake spr-sum</t>
  </si>
  <si>
    <t>ChinAbundSnakeSprSum</t>
  </si>
  <si>
    <t>Chinook abundance Upper Columbia spr</t>
  </si>
  <si>
    <t>ChinAbundUpColSpr</t>
  </si>
  <si>
    <t>blackRockfish_2025</t>
  </si>
  <si>
    <t>blackRockfish_SA_2025</t>
  </si>
  <si>
    <t>NWFSC_WCGFS</t>
  </si>
  <si>
    <t>pfmc-assessments/nwfscSurvey R package</t>
  </si>
  <si>
    <t>iphc20_pacifichalibut_all</t>
  </si>
  <si>
    <t>iphc20halibut</t>
  </si>
  <si>
    <t>iphc20_longnoseskate_all</t>
  </si>
  <si>
    <t>iphc20longnoseSkate</t>
  </si>
  <si>
    <t>Jack mackerel - NCC</t>
  </si>
  <si>
    <t>jackMack_NCC</t>
  </si>
  <si>
    <t>MorganC_Crozier_Forage_NCC_JSOES_prevalence_2025_2.9.26</t>
  </si>
  <si>
    <t>lingcodSA_2026</t>
  </si>
  <si>
    <t>Lingcod_Stock_Assessment</t>
  </si>
  <si>
    <t>Taylor_et_al_2021</t>
  </si>
  <si>
    <t>lingcod</t>
  </si>
  <si>
    <t>lingcod_2025</t>
  </si>
  <si>
    <t>stripetail rockfish</t>
  </si>
  <si>
    <t>stripetailRockfish_2025</t>
  </si>
  <si>
    <t>HakeAge5Plus_2025</t>
  </si>
  <si>
    <t>09.PredFishNCC_b</t>
  </si>
  <si>
    <t>Pacific spiny dogfish</t>
  </si>
  <si>
    <t>PacificSpinyDogfish_2025</t>
  </si>
  <si>
    <t>darkblotched rockfish</t>
  </si>
  <si>
    <t>darkblotchedRockfish_2025</t>
  </si>
  <si>
    <t>greenstriped rockfish</t>
  </si>
  <si>
    <t>greestripedRockfish_2025</t>
  </si>
  <si>
    <t>hakeFisheryWA.cpue</t>
  </si>
  <si>
    <t>hakeFisheryWA_2025</t>
  </si>
  <si>
    <t>HakeTeam</t>
  </si>
  <si>
    <t>TuttleV_A_SHOP_Haul+HakeCatch_1991-2023_030824.xlsx</t>
  </si>
  <si>
    <t>iphc20_bigskate_all</t>
  </si>
  <si>
    <t>iphc20bigSkate</t>
  </si>
  <si>
    <t>jackmackerel_gam</t>
  </si>
  <si>
    <t>jackmackerel_GAM_2025</t>
  </si>
  <si>
    <t>pacificmackerel_gam</t>
  </si>
  <si>
    <t>pacificmackerel_GAM_2025</t>
  </si>
  <si>
    <t>canary rockfish</t>
  </si>
  <si>
    <t>canaryRockfish_2025</t>
  </si>
  <si>
    <t>09.PredFishNCC_b_0</t>
  </si>
  <si>
    <t>chilipepper</t>
  </si>
  <si>
    <t>chilipepper_2025</t>
  </si>
  <si>
    <t>09.PredFishNCC_b_1</t>
  </si>
  <si>
    <t>AllSeaLionsBonn_2025_adultyr</t>
  </si>
  <si>
    <t>mamm</t>
  </si>
  <si>
    <t>PredAK</t>
  </si>
  <si>
    <t>AllSeaLionsBonn_2yrLead_2025</t>
  </si>
  <si>
    <t>10.PredMammalNCC</t>
  </si>
  <si>
    <t>ACOE</t>
  </si>
  <si>
    <t>TidwellK_Tidwell_250408_BON_pinniped abundance_2002-2025.xlsx</t>
  </si>
  <si>
    <t>X10</t>
  </si>
  <si>
    <t>AllSeaLionsEMB_2025_adultyr</t>
  </si>
  <si>
    <t>AllSeaLionsEMB_2yrLead_2025</t>
  </si>
  <si>
    <t>ODFW</t>
  </si>
  <si>
    <t>WrightB_ODFW atlas count Columbia River v 20250218.xlsx</t>
  </si>
  <si>
    <t>Killer.whales.NR.BC_2026</t>
  </si>
  <si>
    <t>Killer_whales_NR_BC_2026</t>
  </si>
  <si>
    <t>orca_2026</t>
  </si>
  <si>
    <t>Marine mammal</t>
  </si>
  <si>
    <t>Cam Freshwater and Thomas; see 25jun26 e-mail from Lisa</t>
  </si>
  <si>
    <t>X</t>
  </si>
  <si>
    <t>Killer.whales.NR.BC_2026_adultyr</t>
  </si>
  <si>
    <t>Killer_whales_NR_BC_2026_adultyr</t>
  </si>
  <si>
    <t>Killer.whales.NR.BC_2yrLead_2026</t>
  </si>
  <si>
    <t>Steller_s_l_WS_2026_adultyr</t>
  </si>
  <si>
    <t>Steller_s_l_2yrLead_WS_2026</t>
  </si>
  <si>
    <t>ssl.est.wholerange_adultyr</t>
  </si>
  <si>
    <t>ssl_est_wholerange_adultyr</t>
  </si>
  <si>
    <t>SEM_data_2024</t>
  </si>
  <si>
    <t>ssl.est.wholerange_2yrLead</t>
  </si>
  <si>
    <t>Chasco_Ward</t>
  </si>
  <si>
    <t>SEM-DFO-NMFS/NCCWorkflow/data_2024; 2-year lead applied: year = year - 2</t>
  </si>
  <si>
    <t>Californian_s_l_WS_2026_adultyr</t>
  </si>
  <si>
    <t>Californian_s_l_2yrLead_WS_2026</t>
  </si>
  <si>
    <t>10.PredMammalNCC_0</t>
  </si>
  <si>
    <t>Harbor_seal_CR_2025_adultyr</t>
  </si>
  <si>
    <t>Harbor_seal_CR_2yrLead_2025</t>
  </si>
  <si>
    <t>10.PredMammalNCC_1</t>
  </si>
  <si>
    <t>WDFW</t>
  </si>
  <si>
    <t>ClarkC_WDFW Harbor Seal Aerial Survey Data - Columbia River Only.csv</t>
  </si>
  <si>
    <t>Harbour_s_WS_2026_adultyr</t>
  </si>
  <si>
    <t>Harbour_s_2yrLead_WS_2026</t>
  </si>
  <si>
    <t>10.PredMammalNCC_2</t>
  </si>
  <si>
    <t>Northern_f_s_WS_2026_adultyr</t>
  </si>
  <si>
    <t>Northern_f_s_2yrLead_WS_2026</t>
  </si>
  <si>
    <t>10.PredMammalNCC_3</t>
  </si>
  <si>
    <t>Harbour_p_WS_2026</t>
  </si>
  <si>
    <t>11.PredMammalSmolt</t>
  </si>
  <si>
    <t>X11</t>
  </si>
  <si>
    <t>Harbour_s_WS_2026</t>
  </si>
  <si>
    <t>Harbor_seal_CR_2025</t>
  </si>
  <si>
    <t>11.PredMammalSmolt_0</t>
  </si>
  <si>
    <t>log_biomass_amphipod_wcvi_shelf_summer</t>
  </si>
  <si>
    <t>biomassAmphShelfSum</t>
  </si>
  <si>
    <t>PreyAK</t>
  </si>
  <si>
    <t>12.ZooPreyAK</t>
  </si>
  <si>
    <t>X12</t>
  </si>
  <si>
    <t>log_biomass_decapod_larvae_wcvi_shelf_summer</t>
  </si>
  <si>
    <t>biomassDecaShelfSum</t>
  </si>
  <si>
    <t>log_biomass_euphusiid_wcvi_shelf_summer</t>
  </si>
  <si>
    <t>biomassEuphShelfSum</t>
  </si>
  <si>
    <t>log_biomass_mysid_wcvi_shelf_summer</t>
  </si>
  <si>
    <t>biomassMysidShelfSum</t>
  </si>
  <si>
    <t>Crested Auklet reproductive success</t>
  </si>
  <si>
    <t>crestedAuk_WAI</t>
  </si>
  <si>
    <t>Western_Aleutian_Islands</t>
  </si>
  <si>
    <t>AK</t>
  </si>
  <si>
    <t>WAI</t>
  </si>
  <si>
    <t>AKIEA_website</t>
  </si>
  <si>
    <t>https://apps-afsc.fisheries.noaa.gov/refm/reem/ecoweb/Index.php?ID=9</t>
  </si>
  <si>
    <t>Least Auklet reproductive success</t>
  </si>
  <si>
    <t>leastAuk_WAI</t>
  </si>
  <si>
    <t>Zooplankton Density Icy Strait (#/m3)</t>
  </si>
  <si>
    <t>zoop_EGoA</t>
  </si>
  <si>
    <t>Eastern_Gulf_of_Alaska</t>
  </si>
  <si>
    <t>EGoA</t>
  </si>
  <si>
    <t>Copepod biomass</t>
  </si>
  <si>
    <t>copepodBiomass_WGoA</t>
  </si>
  <si>
    <t>Western_Gulf_of_Alaska</t>
  </si>
  <si>
    <t>WGoA</t>
  </si>
  <si>
    <t>12.ZooPreyAK_0</t>
  </si>
  <si>
    <t>Copepod Community Size</t>
  </si>
  <si>
    <t>copepodCom_EGoA</t>
  </si>
  <si>
    <t>crust</t>
  </si>
  <si>
    <t>12.ZooPreyAK_1</t>
  </si>
  <si>
    <t>copepodCom_WGoA</t>
  </si>
  <si>
    <t>12.ZooPreyAK_2</t>
  </si>
  <si>
    <t>WGOA_DFA_lowerTrophic_2026</t>
  </si>
  <si>
    <t>Ferris_DFA_2026</t>
  </si>
  <si>
    <t>lower</t>
  </si>
  <si>
    <t>13.FishPreyAK</t>
  </si>
  <si>
    <t>Ferris_et_al_2025</t>
  </si>
  <si>
    <t>X13</t>
  </si>
  <si>
    <t>WGOA_DFA_midTrophic_2026</t>
  </si>
  <si>
    <t>mid</t>
  </si>
  <si>
    <t>EGOA_DFA_lowerTrophic_2026</t>
  </si>
  <si>
    <t>EGOA_DFA_midTrophic_2026</t>
  </si>
  <si>
    <t>pollockBiomassAIage1plus_predAK_2026</t>
  </si>
  <si>
    <t>predAK_2026</t>
  </si>
  <si>
    <t>GoA</t>
  </si>
  <si>
    <t>Pollock_GOA_Stock_Assessment</t>
  </si>
  <si>
    <t>Monnahan_et_al_2024</t>
  </si>
  <si>
    <t>Rhinoceros Auklet Chick Growth</t>
  </si>
  <si>
    <t>rhinoAuk_EGoA</t>
  </si>
  <si>
    <t>Sitka Herring Mature Biomass (tons)</t>
  </si>
  <si>
    <t>sitkaHerring_EGoA</t>
  </si>
  <si>
    <t>WGOA_DFA_seabirds_2026</t>
  </si>
  <si>
    <t>13.FishPreyAK_b</t>
  </si>
  <si>
    <t>EGOA_DFA_seabirds_2026</t>
  </si>
  <si>
    <t>Ammodytes in tufted puffin chick diets</t>
  </si>
  <si>
    <t>ammod_EAI</t>
  </si>
  <si>
    <t>Eastern_Aleutian_Islands</t>
  </si>
  <si>
    <t>EAI</t>
  </si>
  <si>
    <t>Capelin</t>
  </si>
  <si>
    <t>capelin_WGoA</t>
  </si>
  <si>
    <t>est_log_abund_herring_recruits</t>
  </si>
  <si>
    <t>estAbundHerringRecruits</t>
  </si>
  <si>
    <t>Gadids in tufted puffin chick diets</t>
  </si>
  <si>
    <t>gadid_EAI</t>
  </si>
  <si>
    <t>ammod_WAI</t>
  </si>
  <si>
    <t>13.FishPreyAK_b_0</t>
  </si>
  <si>
    <t>gadid_WAI</t>
  </si>
  <si>
    <t>13.FishPreyAK_b_1</t>
  </si>
  <si>
    <t>Hexagrammids in tufted puffin chick diets</t>
  </si>
  <si>
    <t>hexagram_EAI</t>
  </si>
  <si>
    <t>13.FishPreyAK_b_2</t>
  </si>
  <si>
    <t>hexagram_WAI</t>
  </si>
  <si>
    <t>13.FishPreyAK_b_3</t>
  </si>
  <si>
    <t>pollockBiomassGoAage3plus_predAK_2026</t>
  </si>
  <si>
    <t>13.FishPreyAK_b_4</t>
  </si>
  <si>
    <t>pinkSalmonAsia_2025</t>
  </si>
  <si>
    <t>pinkSalmon_2025</t>
  </si>
  <si>
    <t>Asia</t>
  </si>
  <si>
    <t>14.CompAK</t>
  </si>
  <si>
    <t>Ruggerone</t>
  </si>
  <si>
    <t>updated data from Ruggerone; 28may25 e-mail</t>
  </si>
  <si>
    <t>X14</t>
  </si>
  <si>
    <t>Asia and North America</t>
  </si>
  <si>
    <t>14.CompAK_0</t>
  </si>
  <si>
    <t>pinkSalmonNorthAmerica_2025</t>
  </si>
  <si>
    <t>North America</t>
  </si>
  <si>
    <t>14.CompAK_1</t>
  </si>
  <si>
    <t>ArrowtoothFlounderBiomass_predAK_2026</t>
  </si>
  <si>
    <t>15.PredFishAK_0</t>
  </si>
  <si>
    <t>Arrowtooth_GOA_stock_assessment</t>
  </si>
  <si>
    <t>Shotwell_et_al_2021</t>
  </si>
  <si>
    <t>X15</t>
  </si>
  <si>
    <t>15.PredFishAK</t>
  </si>
  <si>
    <t>sablefishBiomass_predAK_2026</t>
  </si>
  <si>
    <t>15.PredFishAK_1</t>
  </si>
  <si>
    <t>Sablefish_AK_stock_assessment</t>
  </si>
  <si>
    <t>Goethel_and_Cheng_2024</t>
  </si>
  <si>
    <t>sablefishRecruitment_predAK_2026</t>
  </si>
  <si>
    <t>15.PredFishAK_2</t>
  </si>
  <si>
    <t>PacificCodBiomass_predAK_2026</t>
  </si>
  <si>
    <t>15.PredFishAK_3</t>
  </si>
  <si>
    <t>PacificCod_GOA_stock_assessment</t>
  </si>
  <si>
    <t>Hulson_et_a;_2026</t>
  </si>
  <si>
    <t>spinyDogfishGoA_predAK_2026</t>
  </si>
  <si>
    <t>15.PredFishAK_4</t>
  </si>
  <si>
    <t>Shark_Stock_Assessment</t>
  </si>
  <si>
    <t>halibutBiomassAge8plus_predAK_2026</t>
  </si>
  <si>
    <t>Internatl_Pac_Halibut_Commission</t>
  </si>
  <si>
    <t>IPHC-2026-SA-01</t>
  </si>
  <si>
    <t>halibutBiomassAge8plus_predAK_2026_adultyr</t>
  </si>
  <si>
    <t>halibutBiomassAge8plus_2yrLead_predAK_2026</t>
  </si>
  <si>
    <t>15.PredFishAK_5</t>
  </si>
  <si>
    <t>sleeperSharkBSAI_predAK_2026</t>
  </si>
  <si>
    <t>15.PredFishAK_b</t>
  </si>
  <si>
    <t>sleeperSharkGoA_predAK_2026</t>
  </si>
  <si>
    <t>spinyDogfishBSAI_predAK_2026</t>
  </si>
  <si>
    <t>15.PredFishAK_b_0</t>
  </si>
  <si>
    <t>salmonSharkBSAI_predAK_2026</t>
  </si>
  <si>
    <t>15.PredFishAK_b_1</t>
  </si>
  <si>
    <t>salmonSharkGoA_predAK_2026</t>
  </si>
  <si>
    <t>15.PredFishAK_b_2</t>
  </si>
  <si>
    <t>sharkCatchGoA_predAK_2026</t>
  </si>
  <si>
    <t>selected_spp_specific_indicators</t>
  </si>
  <si>
    <t>15.PredFishAK_b_3</t>
  </si>
  <si>
    <t>SAR_2025</t>
  </si>
  <si>
    <t>simple</t>
  </si>
  <si>
    <t>SAR</t>
  </si>
  <si>
    <t>CRB_DART_website</t>
  </si>
  <si>
    <t>https://www.cbr.washington.edu/dart/query/pit_sar_esu</t>
  </si>
  <si>
    <t>XSA</t>
  </si>
  <si>
    <t>sar.UCsprCh_2025</t>
  </si>
  <si>
    <t>sar_UCsprCh_2025</t>
  </si>
  <si>
    <t>full stock assessment for life history notes</t>
  </si>
  <si>
    <t>most recent assessment for data</t>
  </si>
  <si>
    <t>Shotwell et al 2021</t>
  </si>
  <si>
    <t>Length info</t>
  </si>
  <si>
    <t>Location info</t>
  </si>
  <si>
    <t>Overlap notes</t>
  </si>
  <si>
    <t xml:space="preserve"> </t>
  </si>
  <si>
    <t xml:space="preserve"> ~Species</t>
  </si>
  <si>
    <t xml:space="preserve">   ~Region</t>
  </si>
  <si>
    <t xml:space="preserve"> ~SalmonStage</t>
  </si>
  <si>
    <t xml:space="preserve">   ~Age</t>
  </si>
  <si>
    <t xml:space="preserve">      ~Depth</t>
  </si>
  <si>
    <t xml:space="preserve">         ~DistShore</t>
  </si>
  <si>
    <t xml:space="preserve">     ~Trophic</t>
  </si>
  <si>
    <t xml:space="preserve">     ~Notes</t>
  </si>
  <si>
    <t xml:space="preserve">       ~Citation</t>
  </si>
  <si>
    <t xml:space="preserve">  "Salmon"</t>
  </si>
  <si>
    <t xml:space="preserve">  "NCC" </t>
  </si>
  <si>
    <t xml:space="preserve">     "Smolt"</t>
  </si>
  <si>
    <t xml:space="preserve">     "Age1"</t>
  </si>
  <si>
    <t xml:space="preserve">    "100-250"</t>
  </si>
  <si>
    <t xml:space="preserve">  "0-10m"</t>
  </si>
  <si>
    <t xml:space="preserve">          "0-60nm"</t>
  </si>
  <si>
    <t xml:space="preserve">      "Salmon"</t>
  </si>
  <si>
    <t xml:space="preserve">   "Spring-summer"</t>
  </si>
  <si>
    <t xml:space="preserve">   "[@teel_genetic_2015;@weitkamp_stock-specific_2015;  @daly_spatial_2012;@daly_ontogenetic_2009]"</t>
  </si>
  <si>
    <t xml:space="preserve">  "WCVI" </t>
  </si>
  <si>
    <t xml:space="preserve">    "150-300"</t>
  </si>
  <si>
    <t xml:space="preserve">  "0-122m"</t>
  </si>
  <si>
    <t xml:space="preserve">        "0-60nm"</t>
  </si>
  <si>
    <t xml:space="preserve">   "[@tucker_life_2011;@fisher_2007]"</t>
  </si>
  <si>
    <t xml:space="preserve">  "BC/AK" </t>
  </si>
  <si>
    <t xml:space="preserve">    "200-400"</t>
  </si>
  <si>
    <t>longitude 125-128</t>
  </si>
  <si>
    <t xml:space="preserve">   "Summer-fall-winter"</t>
  </si>
  <si>
    <t xml:space="preserve">  "AK" </t>
  </si>
  <si>
    <t xml:space="preserve">     "Immature"</t>
  </si>
  <si>
    <t xml:space="preserve">     "Age2-3"</t>
  </si>
  <si>
    <t xml:space="preserve">    "350-550"</t>
  </si>
  <si>
    <t xml:space="preserve">  "NA"</t>
  </si>
  <si>
    <t xml:space="preserve">  "longitude 127-135"</t>
  </si>
  <si>
    <t xml:space="preserve">   "NA"</t>
  </si>
  <si>
    <t xml:space="preserve">  "AK/NCC" </t>
  </si>
  <si>
    <t xml:space="preserve">     "Adult"</t>
  </si>
  <si>
    <t xml:space="preserve">     "Age3-5"</t>
  </si>
  <si>
    <t xml:space="preserve">  "0-200m"</t>
  </si>
  <si>
    <t xml:space="preserve">         "NA"</t>
  </si>
  <si>
    <t xml:space="preserve">         "Salmon"</t>
  </si>
  <si>
    <t xml:space="preserve">   "Gietzmann-Sanders_2026 GOA sat tags mostly AK fall chinook"</t>
  </si>
  <si>
    <t xml:space="preserve">  "Sablefish"</t>
  </si>
  <si>
    <t xml:space="preserve"> "NCC"</t>
  </si>
  <si>
    <t xml:space="preserve">    "Age0-2"</t>
  </si>
  <si>
    <t xml:space="preserve">  "0-45cm"</t>
  </si>
  <si>
    <t xml:space="preserve">    "Surface"</t>
  </si>
  <si>
    <t xml:space="preserve">       "0-60nm"</t>
  </si>
  <si>
    <t xml:space="preserve">      "Competitor"</t>
  </si>
  <si>
    <t xml:space="preserve"> "Inshore</t>
  </si>
  <si>
    <t xml:space="preserve"> NCC"</t>
  </si>
  <si>
    <t xml:space="preserve">                "[@daly_implications_2024]"</t>
  </si>
  <si>
    <t xml:space="preserve"> "AK"</t>
  </si>
  <si>
    <t xml:space="preserve">      "Smolt"</t>
  </si>
  <si>
    <t xml:space="preserve">  "0-20-45cm"</t>
  </si>
  <si>
    <t xml:space="preserve"> "Surface"</t>
  </si>
  <si>
    <t xml:space="preserve">      "NA"</t>
  </si>
  <si>
    <t xml:space="preserve">           "Altprey"</t>
  </si>
  <si>
    <t xml:space="preserve">    "Inshore</t>
  </si>
  <si>
    <t xml:space="preserve"> central/eastern GOA"</t>
  </si>
  <si>
    <t xml:space="preserve"> "Goethel et al 2021</t>
  </si>
  <si>
    <t xml:space="preserve"> Sablefish stock assessment"</t>
  </si>
  <si>
    <t xml:space="preserve">   "Immature"</t>
  </si>
  <si>
    <t xml:space="preserve">    "Age3+"</t>
  </si>
  <si>
    <t xml:space="preserve">   "45-80cm"</t>
  </si>
  <si>
    <t xml:space="preserve">   "&gt;200m"</t>
  </si>
  <si>
    <t xml:space="preserve">        "NA"</t>
  </si>
  <si>
    <t xml:space="preserve">    "slope</t>
  </si>
  <si>
    <t xml:space="preserve"> deep fjords</t>
  </si>
  <si>
    <t xml:space="preserve"> GOA"</t>
  </si>
  <si>
    <t xml:space="preserve">      "Goethel et al 2021</t>
  </si>
  <si>
    <t xml:space="preserve">  "Walleye pollock"</t>
  </si>
  <si>
    <t>Smolt</t>
  </si>
  <si>
    <t xml:space="preserve">    "Age1-2"</t>
  </si>
  <si>
    <t xml:space="preserve">  "15-30cm"</t>
  </si>
  <si>
    <t xml:space="preserve">   "100-150 km offshore"</t>
  </si>
  <si>
    <t xml:space="preserve">         "Prey"</t>
  </si>
  <si>
    <t xml:space="preserve">  "Vertically dispersed in midwater</t>
  </si>
  <si>
    <t xml:space="preserve"> semi-demersal"</t>
  </si>
  <si>
    <t xml:space="preserve"> "Monnahan etal 2024 SA</t>
  </si>
  <si>
    <t xml:space="preserve"> Adams etal 2007</t>
  </si>
  <si>
    <t xml:space="preserve"> Shima et al 2002"</t>
  </si>
  <si>
    <t>Immature</t>
  </si>
  <si>
    <t xml:space="preserve"> "Age3+"</t>
  </si>
  <si>
    <t xml:space="preserve">   "30-60cm"</t>
  </si>
  <si>
    <t xml:space="preserve">   "100-300 m"</t>
  </si>
  <si>
    <t xml:space="preserve">                "Altprey"</t>
  </si>
  <si>
    <t xml:space="preserve">  "Demersal</t>
  </si>
  <si>
    <t xml:space="preserve"> benthic shelf"</t>
  </si>
  <si>
    <t xml:space="preserve">                   "Monnahan etal 2024 SA</t>
  </si>
  <si>
    <t xml:space="preserve">  "Arrowtooth Flounder"</t>
  </si>
  <si>
    <t xml:space="preserve"> "Age0-1"</t>
  </si>
  <si>
    <t xml:space="preserve"> "15-30cm"</t>
  </si>
  <si>
    <t xml:space="preserve">  "30-250m"</t>
  </si>
  <si>
    <t>shelf, deep canyons</t>
  </si>
  <si>
    <t xml:space="preserve"> "Predator"</t>
  </si>
  <si>
    <t>generalist benthic predator,low bottom temp\neat shrimp,capelin,krill,herring,\nsmall amt pollock+other misc fish</t>
  </si>
  <si>
    <t xml:space="preserve">  "[@Shotwell_2021]"</t>
  </si>
  <si>
    <t xml:space="preserve"> "Immature"</t>
  </si>
  <si>
    <t xml:space="preserve"> "Age1+"</t>
  </si>
  <si>
    <t xml:space="preserve"> "40-700cm"</t>
  </si>
  <si>
    <t>100-500 m</t>
  </si>
  <si>
    <t>shelf/slope</t>
  </si>
  <si>
    <t xml:space="preserve"> "Altprey"</t>
  </si>
  <si>
    <t xml:space="preserve">    "Demersal</t>
  </si>
  <si>
    <t xml:space="preserve"> eat mostly pollock</t>
  </si>
  <si>
    <t>then forage fishn\nshallower depth in warm years"</t>
  </si>
  <si>
    <t>[@Shotwell_2021]</t>
  </si>
  <si>
    <t xml:space="preserve">  "Pacific halibut"</t>
  </si>
  <si>
    <t xml:space="preserve"> "Adult"</t>
  </si>
  <si>
    <t xml:space="preserve"> "100-200cm"</t>
  </si>
  <si>
    <t xml:space="preserve">  "0-400m"</t>
  </si>
  <si>
    <t>salmon is minor prey</t>
  </si>
  <si>
    <t xml:space="preserve">  "Best and St. Pierre 1986 Table 2 diet"</t>
  </si>
  <si>
    <t xml:space="preserve">  "Pacific sleeper shark"</t>
  </si>
  <si>
    <t xml:space="preserve">  "0-2000m"</t>
  </si>
  <si>
    <t>bycatch data bias: mostly caught in Pcod and pollock fisheries,\nPrey: squid, fish (e.g., salmon, pollock), and HS,SSL</t>
  </si>
  <si>
    <t xml:space="preserve">  "Tribuzio et al 2022"</t>
  </si>
  <si>
    <t xml:space="preserve">  "Salmon shark"</t>
  </si>
  <si>
    <t xml:space="preserve">          "AK"</t>
  </si>
  <si>
    <t xml:space="preserve">  "0-1864m"</t>
  </si>
  <si>
    <t>coastal littoral zone, inshore and offshore epipelagic</t>
  </si>
  <si>
    <t>bycatch data bias: mostly caught in pollock fishery; \n Prey: salmon, fish, forage fish</t>
  </si>
  <si>
    <t xml:space="preserve">  "Pacific spiny dogfish"</t>
  </si>
  <si>
    <t xml:space="preserve">  "0-677m"</t>
  </si>
  <si>
    <t>shelf and upper slope, benthic and pelagic</t>
  </si>
  <si>
    <t>Southerly, bycatch data bias:Pcod/pollock</t>
  </si>
  <si>
    <t xml:space="preserve">  "Pacific cod"</t>
  </si>
  <si>
    <t xml:space="preserve"> "Age1"</t>
  </si>
  <si>
    <t xml:space="preserve"> "15-20cm"</t>
  </si>
  <si>
    <t xml:space="preserve">  "Hulson et al 2026"</t>
  </si>
  <si>
    <t xml:space="preserve"> "35-70cm"</t>
  </si>
  <si>
    <t>Sablefish</t>
  </si>
  <si>
    <t>Surface</t>
  </si>
  <si>
    <t>0-60nm</t>
  </si>
  <si>
    <t>Competitor</t>
  </si>
  <si>
    <t>Inshore, NCC</t>
  </si>
  <si>
    <t>[@daly_implications_2024]</t>
  </si>
  <si>
    <t>Altprey</t>
  </si>
  <si>
    <t>Inshore, central/eastern GOA</t>
  </si>
  <si>
    <t>Goethel et al 2021, Sablefish stock assessment</t>
  </si>
  <si>
    <t>Age3+</t>
  </si>
  <si>
    <t>&gt;200m</t>
  </si>
  <si>
    <t>slope, deep fjords, GOA</t>
  </si>
  <si>
    <t>Walleye pollock</t>
  </si>
  <si>
    <t>Age1-2</t>
  </si>
  <si>
    <t>15-30cm</t>
  </si>
  <si>
    <t>100-150 km offshore</t>
  </si>
  <si>
    <t>Prey</t>
  </si>
  <si>
    <t>Vertically dispersed in midwater, semi-demersal</t>
  </si>
  <si>
    <t>Monnahan etal 2024 SA, Adams etal 2007, Shima et al 2002</t>
  </si>
  <si>
    <t>30-60cm</t>
  </si>
  <si>
    <t>100-300 m</t>
  </si>
  <si>
    <t>Demersal, benthic shelf</t>
  </si>
  <si>
    <t>Arrowtooth Flounder</t>
  </si>
  <si>
    <t>Age0-1</t>
  </si>
  <si>
    <t>30-250m</t>
  </si>
  <si>
    <t>Predator</t>
  </si>
  <si>
    <t>Age1+</t>
  </si>
  <si>
    <t>40-700cm</t>
  </si>
  <si>
    <t>Demersal, eat mostly pollock,then forage fishn\nshallower depth in warm years</t>
  </si>
  <si>
    <t>Pacific halibut</t>
  </si>
  <si>
    <t>Adult</t>
  </si>
  <si>
    <t>100-200cm</t>
  </si>
  <si>
    <t>0-400m</t>
  </si>
  <si>
    <t>Best and St. Pierre 1986 Table 2 diet</t>
  </si>
  <si>
    <t>Pacific sleeper shark</t>
  </si>
  <si>
    <t>0-2000m</t>
  </si>
  <si>
    <t>Tribuzio et al 2022</t>
  </si>
  <si>
    <t>Salmon shark</t>
  </si>
  <si>
    <t>0-1864m</t>
  </si>
  <si>
    <t>0-677m</t>
  </si>
  <si>
    <t>Arrowtooth Shotwell et al 2021</t>
  </si>
  <si>
    <t>Lisa's takeaway</t>
  </si>
  <si>
    <t xml:space="preserve">"total biomass" is age1+, which is fine for us because they are presumably over 40cm, and hence barely large enough to eat salmon </t>
  </si>
  <si>
    <t xml:space="preserve">we might have preferred 2+, but </t>
  </si>
  <si>
    <t>actually based on midpoints, they have to be &gt;15 yr to be 400cm, so generally not big enough to eat a Ch yearling smolt</t>
  </si>
  <si>
    <t>Goethel and Cheng Nov 2024 Assesment of the Sablefish Stock in Alaska</t>
  </si>
  <si>
    <t>Goethel et al 2021 SAFE report 3.Assesment of the Sablefish Stock in Alaska</t>
  </si>
  <si>
    <t>Species</t>
  </si>
  <si>
    <t>ArrowtoothFlounder</t>
  </si>
  <si>
    <t>sablefish</t>
  </si>
  <si>
    <t>PacificCod</t>
  </si>
  <si>
    <t>halibut</t>
  </si>
  <si>
    <t>spinyDogfish</t>
  </si>
  <si>
    <t>sleeperShark</t>
  </si>
  <si>
    <t>salmonShark</t>
  </si>
  <si>
    <t>pollock</t>
  </si>
  <si>
    <t>herring</t>
  </si>
  <si>
    <t>capelin</t>
  </si>
  <si>
    <t>krill</t>
  </si>
  <si>
    <t>Don’t use: Dec 2025 SAFE report only has 1 page, catch report 2024-2027 OFL, ABC,TAC,Catch table</t>
  </si>
  <si>
    <t>Monnahan Ferris et al 2024 Assesment of the Walleye Pollock Stock in the Gulf of Alaska</t>
  </si>
  <si>
    <t>extra refs</t>
  </si>
  <si>
    <t>Hulson et al 2026</t>
  </si>
  <si>
    <t>IPHC no LH info, Best 1986 for diet</t>
  </si>
  <si>
    <t>Tribuzio et al 2022 GOA BSAI complete shark assessment</t>
  </si>
  <si>
    <t>spring Chinook salmon decreased by an order of</t>
  </si>
  <si>
    <t>Yet sampling effort only decreased by 10% during that</t>
  </si>
  <si>
    <t>Columbia River spring Chinook salmon were recovered</t>
  </si>
  <si>
    <t>during their second year at sea (Figure 5A). These</t>
  </si>
  <si>
    <t>results suggest that yearling Columbia River spring</t>
  </si>
  <si>
    <t>Chinook salmon leave the continental shelf in late</t>
  </si>
  <si>
    <t>summer or fall (see Discussion).</t>
  </si>
  <si>
    <t>Overall, recoveries of yearling Columbia River</t>
  </si>
  <si>
    <t>magnitude between summer and fall (Figure 2C, E).</t>
  </si>
  <si>
    <t>Trudel 2009</t>
  </si>
  <si>
    <t>time (Table 2B). Furthermore, very few (n=4) yearling</t>
  </si>
  <si>
    <t>Columbia River Spring Chinook Salmon</t>
  </si>
  <si>
    <t>Yearling Columbia River spring Chinook salmon</t>
  </si>
  <si>
    <t>were typically released in March–April (Table 5).</t>
  </si>
  <si>
    <t>Columbia River spring Chinook salmon appeared to be</t>
  </si>
  <si>
    <t>not recovered in the surveys conducted farther north</t>
  </si>
  <si>
    <t>along the central coast of British Columbia and in</t>
  </si>
  <si>
    <t>undertook a rapid migration in a counterclockwise</t>
  </si>
  <si>
    <t>Upon ocean entry, they quickly dispersed over nearly</t>
  </si>
  <si>
    <t>3,000 km along the continental shelf, ranging from</t>
  </si>
  <si>
    <t>Cape Arago, Oregon, in the south (438120N) to Kodiak</t>
  </si>
  <si>
    <t>Island, Alaska, in the north (Figures 2, 5A). In the</t>
  </si>
  <si>
    <t>spring, the limit to the northward migration of juvenile</t>
  </si>
  <si>
    <t>near the northern tip of Vancouver Island, as they were</t>
  </si>
  <si>
    <t>Southeast Alaska (Figures 1, 2A). Northern migrants</t>
  </si>
  <si>
    <t>direction on the shelf around the Gulf of Alaska and</t>
  </si>
  <si>
    <t>20 km/d (Figure 6A). Juvenile Columbia River spring</t>
  </si>
  <si>
    <t>Chinook salmon moving slower than 10 km/d or faster</t>
  </si>
  <si>
    <t>than 20 km/d were not uncommon (Figure 6A).</t>
  </si>
  <si>
    <t>reached Southeast Alaska as early as June (after 1,200–</t>
  </si>
  <si>
    <t>1,600 km of ocean travel) and central Alaska as early</t>
  </si>
  <si>
    <t>as July (after 1,800–2,100 km of ocean travel) (Figures</t>
  </si>
  <si>
    <t>2C, 5A). The combined river and ocean dispersal rates</t>
  </si>
  <si>
    <t>of northern migrants were highly variable, ranging</t>
  </si>
  <si>
    <t>from 1.8 to 36.5 km/d, with a modal speed around 10–</t>
  </si>
  <si>
    <t>start size (mm)</t>
  </si>
  <si>
    <t>growth:mm/day</t>
  </si>
  <si>
    <t>days Jun 1-Oct 1</t>
  </si>
  <si>
    <t>end size (mm)</t>
  </si>
  <si>
    <t>700 mm</t>
  </si>
  <si>
    <t xml:space="preserve">        ~Size_mm</t>
  </si>
  <si>
    <t>Salmon</t>
  </si>
  <si>
    <t>Age1</t>
  </si>
  <si>
    <t>100-250</t>
  </si>
  <si>
    <t>0-10m</t>
  </si>
  <si>
    <t>Spring-summer</t>
  </si>
  <si>
    <t>[@teel_genetic_2015;@weitkamp_stock-specific_2015;  @daly_spatial_2012;@daly_ontogenetic_2009]</t>
  </si>
  <si>
    <t>150-300</t>
  </si>
  <si>
    <t>0-122m</t>
  </si>
  <si>
    <t>[@tucker_life_2011;@fisher_2007]</t>
  </si>
  <si>
    <t>BC/AK</t>
  </si>
  <si>
    <t>200-400</t>
  </si>
  <si>
    <t>Summer-fall-winter</t>
  </si>
  <si>
    <t>Age2-3</t>
  </si>
  <si>
    <t>350-550</t>
  </si>
  <si>
    <t>longitude 127-135</t>
  </si>
  <si>
    <t>AK/NCC</t>
  </si>
  <si>
    <t>Age3-5</t>
  </si>
  <si>
    <t>0-200m</t>
  </si>
  <si>
    <t>Gietzmann-Sanders_2026 GOA sat tags mostly AK fall chinook</t>
  </si>
  <si>
    <t>Pacific cod</t>
  </si>
  <si>
    <t>15-20cm</t>
  </si>
  <si>
    <t>35-70cm</t>
  </si>
  <si>
    <t xml:space="preserve">Species,   </t>
  </si>
  <si>
    <t xml:space="preserve">Region, </t>
  </si>
  <si>
    <t xml:space="preserve">SalmonStage,   </t>
  </si>
  <si>
    <t xml:space="preserve">Age,        </t>
  </si>
  <si>
    <t xml:space="preserve">Size,      </t>
  </si>
  <si>
    <t xml:space="preserve">Depth,         </t>
  </si>
  <si>
    <t xml:space="preserve">DistShore,     </t>
  </si>
  <si>
    <t xml:space="preserve">Trophic,     </t>
  </si>
  <si>
    <t xml:space="preserve">Notes,       </t>
  </si>
  <si>
    <t>Citation,</t>
  </si>
  <si>
    <t>200-450</t>
  </si>
  <si>
    <t>450-800</t>
  </si>
  <si>
    <t>50-200</t>
  </si>
  <si>
    <t>A conversion matrix was estimated using 1992-1998 Shelikof Strait acoustic survey data and used for winter survey length frequency data. The following length bins were used: 5-16, 17-27, 28-35, 36-42, 43-50, 51-55, 56-70 (cm). Age data for the most recent survey is now routinely available so this option does not need to be invoked. A conversion matrix was estimated using second and third trimester fishery age and length data during the years (1989-1998), and was used when age composition data are unavailable for the summer bottom trawl survey, which is only for the most recent survey in the year that the survey is conducted. The following length bins were used: 5-24, 25-34, 35-41,</t>
  </si>
  <si>
    <t>42-45, 46-50, 51-55, 56-70 (cm), so that the first four bins would capture most of the summer length distribution of the age-1, age-2, age-3 and age-4 fish, respectively. Bin definitions were different for the summer and the winter conversion matrices to account for the seasonal growth of the younger fish (ages 1-4).</t>
  </si>
  <si>
    <t xml:space="preserve">The following length bins were used: </t>
  </si>
  <si>
    <t xml:space="preserve"> age-1</t>
  </si>
  <si>
    <t xml:space="preserve"> age-2</t>
  </si>
  <si>
    <t xml:space="preserve"> 17-27</t>
  </si>
  <si>
    <t xml:space="preserve"> 28-35</t>
  </si>
  <si>
    <t xml:space="preserve"> 36-42</t>
  </si>
  <si>
    <t xml:space="preserve"> 43-50</t>
  </si>
  <si>
    <t xml:space="preserve"> 51-55</t>
  </si>
  <si>
    <t xml:space="preserve"> 56-70 (cm).</t>
  </si>
  <si>
    <t xml:space="preserve"> 5-24</t>
  </si>
  <si>
    <t xml:space="preserve"> 25-34</t>
  </si>
  <si>
    <t xml:space="preserve"> 35-41</t>
  </si>
  <si>
    <t>42-45</t>
  </si>
  <si>
    <t xml:space="preserve"> 46-50</t>
  </si>
  <si>
    <t xml:space="preserve"> 56-70 (cm)</t>
  </si>
  <si>
    <t xml:space="preserve"> age-3 and </t>
  </si>
  <si>
    <t>age-4 fish</t>
  </si>
  <si>
    <t>5-16</t>
  </si>
  <si>
    <t>winter</t>
  </si>
  <si>
    <t>summer</t>
  </si>
  <si>
    <t>age0</t>
  </si>
  <si>
    <t>age1</t>
  </si>
  <si>
    <t>age3</t>
  </si>
  <si>
    <t>age2</t>
  </si>
  <si>
    <t>assessment reports age 1 recruits and 3+total biomass, which are all &gt;350mm, so potentially large enough to eat a smolt.</t>
  </si>
  <si>
    <t>Goethel et al 2021</t>
  </si>
  <si>
    <t>50 cm=500mm</t>
  </si>
  <si>
    <t>recruits=age2, total biomass=2+</t>
  </si>
  <si>
    <t>Larval sablefish sampled by neuston net in the eastern Bering Sea feed primarily on copepod nauplii and adult copepods (Grover and Olla 1990). In gillnets set at night during several years on the AFSC longline survey, most young-of-the-year sablefish were caught in the central and eastern GOA (Sigler et al. 2001). Near the end of their first summer, pelagic juveniles less than 20 cm move inshore and spend the winter and following summer in inshore waters where they exhibit rapid growth, reaching 30-40 cm by the end of their second summer (Rutecki and Varosi 1997). Gao et al. (2004) studied stable isotopes in otoliths of juvenile sablefish from Oregon and Washington and found that as the fish increased in size they shifted from midwater prey to more benthic prey. In nearshore southeast Alaska, juvenile sablefish (20 - 45 cm) diets included fish such as Pacific herring and smelts and invertebrates such as krill, amphipods, and polychaete worms (Coutré et al. 2015). In late summer, juvenile sablefish also consumed post-spawning pacific salmon carcass remnants in high volume, revealing opportunistic scavenging (Coutré et al. 2015). After their second summer, they begin moving offshore to deeper water, typically reaching their adult habitat, the upper continental slope, at 4 to 5 years. This corresponds to the age range when sablefish start becoming reproductively viable (Mason et al. 1983, Rodgveller et al. 2016).</t>
  </si>
  <si>
    <t>p22</t>
  </si>
  <si>
    <r>
      <t>Goetz, F. W., Jasonowicz, A. J., &amp; Roberts, S. B. (2018).</t>
    </r>
    <r>
      <rPr>
        <sz val="11"/>
        <color theme="1"/>
        <rFont val="Calibri"/>
        <family val="2"/>
        <scheme val="minor"/>
      </rPr>
      <t xml:space="preserve"> </t>
    </r>
    <r>
      <rPr>
        <i/>
        <sz val="11"/>
        <color theme="1"/>
        <rFont val="Calibri"/>
        <family val="2"/>
        <scheme val="minor"/>
      </rPr>
      <t>"What goes up must come down: Diel vertical migration in the deep-water sablefish (Anoplopoma fimbria) revealed by pop-up satellite archival tags."</t>
    </r>
    <r>
      <rPr>
        <sz val="11"/>
        <color theme="1"/>
        <rFont val="Calibri"/>
        <family val="2"/>
        <scheme val="minor"/>
      </rPr>
      <t xml:space="preserve"> </t>
    </r>
    <r>
      <rPr>
        <i/>
        <sz val="11"/>
        <color theme="1"/>
        <rFont val="Calibri"/>
        <family val="2"/>
        <scheme val="minor"/>
      </rPr>
      <t>Fisheries Oceanography</t>
    </r>
    <r>
      <rPr>
        <sz val="11"/>
        <color theme="1"/>
        <rFont val="Calibri"/>
        <family val="2"/>
        <scheme val="minor"/>
      </rPr>
      <t>, 27(6), 516–525</t>
    </r>
  </si>
  <si>
    <r>
      <t xml:space="preserve">Uses pop-up satellite archival tags (PSATs) to document adult sablefish routinely executing nocturnal </t>
    </r>
    <r>
      <rPr>
        <b/>
        <sz val="11"/>
        <color theme="1"/>
        <rFont val="Arial"/>
        <family val="2"/>
      </rPr>
      <t>diel vertical migrations (DVM)</t>
    </r>
    <r>
      <rPr>
        <sz val="11"/>
        <color theme="1"/>
        <rFont val="Calibri"/>
        <family val="2"/>
        <scheme val="minor"/>
      </rPr>
      <t xml:space="preserve">—ascending up to </t>
    </r>
    <r>
      <rPr>
        <sz val="11"/>
        <color theme="1"/>
        <rFont val="Arial"/>
        <family val="2"/>
      </rPr>
      <t>$100\text{--}500+\text{ meters}$</t>
    </r>
    <r>
      <rPr>
        <sz val="11"/>
        <color theme="1"/>
        <rFont val="Calibri"/>
        <family val="2"/>
        <scheme val="minor"/>
      </rPr>
      <t xml:space="preserve"> off the benthic slope into midwater depth layers during the night.</t>
    </r>
  </si>
  <si>
    <t>issue is that neither of these units is really perfect.  I think the 2+ is good enough, but 2 yr are a little small to eat a salmon</t>
  </si>
  <si>
    <t>There are few formal diet studies on Pacific sleeper sharks, but most evidence collected to date suggests they are opportunistic feeders with a varied diet, fulfilling ecological roles as both active predators and facultative scavengers. Pacific sleeper sharks were once thought to be relatively sedentary and benthic because their stomachs commonly contain offal, cephalopods, and bottom-dwelling fish such as flounder (Pleuronectidae) (e.g., Yang and Page 1999). However, prey from different depths, such as giant grenadier (Albatrossia pectoralis) and pink salmon (Oncorhynchus gorbuscha), have been documented in the stomachs of a single shark, indicating that they make depth oscillations in search of food (Orlov and Moiseev 1999). Other diet studies have found that Pacific sleeper sharks prey on fast-moving fish such as salmon (O. spp.) and tuna (Thunnus spp.), and marine mammals such as harbor seals (Phoca vitulina), that live near the surface (e.g., Bright 1959; Ebert et al. 1987; Crovetto et al. 1992; Sigler et al. 2006), suggesting that these sharks may not be as benthic-oriented as once thought. These studies are corroborated by tagging efforts demonstrating that sleeper sharks make diel vertical movements, remaining at depth during the day and rising towards the surface at night (Hulbert et al. 2006).</t>
  </si>
  <si>
    <t>Diet includes salmon, diel vertical movements</t>
  </si>
  <si>
    <t>Salmon Shark</t>
  </si>
  <si>
    <t>Salmon sharks are broadly dispersed, highly mobile, and have the ability to migrate long distances among ecoregions within the North Pacific Ocean (Weng et al. 2008). Salmon sharks are opportunistic feeders, sharing the highest trophic level of the subarctic Pacific food web with marine mammals and seabirds (Brodeur 1988, Nagasawa 1998, Goldman and Human 2004). They feed on a wide variety of prey, from squid and shrimp to salmon (Oncorhynchus spp.) and rockfishes (family Sebastidae) and even other sharks (Sano 1962, Hart 1973, Compagno 1984, Nagasawa 1998), but primarily (&gt;70% of diet) consume fish (Bizzarro et al. 2017). The species is a significant seasonal predator of returning salmon in some areas such as Prince William Sound (Hulbert et al. 2005), and there is evidence that salmon shark predation may also represent a significant source of mortality in immature or maturing Chinook salmon and other salmon species in oceanic waters of the GOA and BSAI (Nagasawa 1998, Seitz et al. 2019). To the best of our knowledge, there are no known predators of salmon sharks, though orcas have been known to kill and consume other related mobile large sharks such as the white shark (Pyle et al. 1999).</t>
  </si>
  <si>
    <t>Sleeper shark</t>
  </si>
  <si>
    <t>Spiny Dogfish</t>
  </si>
  <si>
    <t>The Pacific spiny dogfish (hereafter, “spiny dogfish”) occupies shelf and upper slope waters from the Bering Sea to the southern Baja Peninsula in the eastern North Pacific (ENP) and south through the Japanese archipelago in the western North Pacific (WNP, Ebert et al. 2010). Spiny dogfish are considered more common off the U.S. West Coast and British Columbia (BC) than in the GOA or BSAI (Hart 1973, Ketchen 1986, Mecklenburg et al. 2002). In Alaska, they are more common in the GOA than in the BSAI and tend to be most abundant in the Eastern GOA (Gasper and Kruse 2013). Spiny dogfish inhabit both benthic and pelagic environments. They are commonly found in surface waters and throughout the water column, with a maximum recorded depth of 677 m in Alaska waters (Tribuzio, unpublished data).</t>
  </si>
  <si>
    <t>juvenile cod (&lt;50cm)</t>
  </si>
  <si>
    <t>total biomass is age 0+</t>
  </si>
  <si>
    <t>age1=17.64cm</t>
  </si>
  <si>
    <t>age10=100cm</t>
  </si>
  <si>
    <t>grow 0.2cm/yr</t>
  </si>
  <si>
    <t>50% maturation 4-5, 40-45 cm, all mature by age 6-7: 65-70cm</t>
  </si>
  <si>
    <t>if salmon are 200-400mm in AK, pred have to be at least 500mm. The age of that for the following spp is:</t>
  </si>
  <si>
    <t>age4</t>
  </si>
  <si>
    <t>age4-5</t>
  </si>
  <si>
    <t>arrowtooth</t>
  </si>
  <si>
    <t>pcod</t>
  </si>
  <si>
    <t>age5</t>
  </si>
  <si>
    <t>Approximate Size-at-Age Table (GOA / Area 3A–3B)</t>
  </si>
  <si>
    <t>The values below represent modern averages derived from recent IPHC Fishery-Independent Setline Surveys (FISS) and stock assessment parameters for the Gulf of Alaska:</t>
  </si>
  <si>
    <t>Age</t>
  </si>
  <si>
    <t>Female Length (cm)</t>
  </si>
  <si>
    <t>Male Length (cm)</t>
  </si>
  <si>
    <t>Approx. Weight (Live / Round lbs)</t>
  </si>
  <si>
    <t>Maturity &amp; Ecological Role</t>
  </si>
  <si>
    <t>Age 1</t>
  </si>
  <si>
    <t>$15\text{--}20$</t>
  </si>
  <si>
    <t>$&lt; 0.2$</t>
  </si>
  <si>
    <t>Benthic juveniles, shallow nursery zones</t>
  </si>
  <si>
    <t>Age 2</t>
  </si>
  <si>
    <t>$25\text{--}35$</t>
  </si>
  <si>
    <t>$25\text{--}30$</t>
  </si>
  <si>
    <t>$0.5\text{--}1.0$</t>
  </si>
  <si>
    <t>Migrating off nursery grounds</t>
  </si>
  <si>
    <t>Age 3</t>
  </si>
  <si>
    <t>$35\text{--}45$</t>
  </si>
  <si>
    <t>$35\text{--}40$</t>
  </si>
  <si>
    <t>$1.5\text{--}2.5$</t>
  </si>
  <si>
    <t>Small piscivores / crab feeders</t>
  </si>
  <si>
    <t>Age 4</t>
  </si>
  <si>
    <t>$45\text{--}55$</t>
  </si>
  <si>
    <t>$40\text{--}50$</t>
  </si>
  <si>
    <t>$3\text{--}5$</t>
  </si>
  <si>
    <t>Capable of swallowing $200\text{ mm}$ smolts</t>
  </si>
  <si>
    <t>Age 5</t>
  </si>
  <si>
    <t>$55\text{--}65$</t>
  </si>
  <si>
    <t>$50\text{--}58$</t>
  </si>
  <si>
    <t>$5\text{--}9$</t>
  </si>
  <si>
    <t>Approaching legal/commercial gear recruitment</t>
  </si>
  <si>
    <t>Age 8</t>
  </si>
  <si>
    <t>$75\text{--}90$</t>
  </si>
  <si>
    <t>$65\text{--}75$</t>
  </si>
  <si>
    <t>$12\text{--}22$</t>
  </si>
  <si>
    <r>
      <t>50% Male Maturity ($A_{50}$)</t>
    </r>
    <r>
      <rPr>
        <sz val="11"/>
        <color theme="1"/>
        <rFont val="Arial"/>
        <family val="2"/>
      </rPr>
      <t>; males slow growth</t>
    </r>
  </si>
  <si>
    <t>Age 11</t>
  </si>
  <si>
    <t>$95\text{--}115$</t>
  </si>
  <si>
    <t>$70\text{--}80$</t>
  </si>
  <si>
    <t>$25\text{--}45$</t>
  </si>
  <si>
    <t>50% Female Maturity ($A_{50}$)</t>
  </si>
  <si>
    <t>Age 15</t>
  </si>
  <si>
    <t>$110\text{--}135$</t>
  </si>
  <si>
    <t>$75\text{--}85$</t>
  </si>
  <si>
    <t>$40\text{--}75$</t>
  </si>
  <si>
    <t>Highly piscivorous; large apex predator field</t>
  </si>
  <si>
    <t>Age 20+</t>
  </si>
  <si>
    <t>$130\text{--}170+$</t>
  </si>
  <si>
    <t>$80\text{--}90$</t>
  </si>
  <si>
    <t>$70\text{--}180+$</t>
  </si>
  <si>
    <t>Almost exclusively large females ("barn doors")</t>
  </si>
  <si>
    <t xml:space="preserve">this table isn't right because of sexual dimorphism. </t>
  </si>
  <si>
    <t>females ~500mm age 6-7, males mever reach 500mm, only near end of life span</t>
  </si>
  <si>
    <t>Why Arrowtooth holds "Top Predator" Status</t>
  </si>
  <si>
    <t>Even though individual growth rates are moderate compared to dynamic pelagic species like pollock or cod, Arrowtooth Flounder dominates the ecosystem as the "Apex Predator" due to three factors:</t>
  </si>
  <si>
    <t>1. Massive Standing Biomass (The "Benthic Blanket"):</t>
  </si>
  <si>
    <t>Arrowtooth Flounder makes up the largest single groundfish biomass chunk in the Gulf of Alaska (often exceeding 1 million metric tons). They do not need to grow like tuna to dominate; their sheer, overwhelming population density creates an immense predatory field across the shelf and slope.</t>
  </si>
  <si>
    <t>2. Extreme Longevity &amp; Low Natural Mortality ($M$):</t>
  </si>
  <si>
    <r>
      <t xml:space="preserve">They live up to 25–30+ years. Because they face very few natural predators once past $300\text{ mm}$, an individual female spends </t>
    </r>
    <r>
      <rPr>
        <b/>
        <sz val="11"/>
        <color theme="1"/>
        <rFont val="Arial"/>
        <family val="2"/>
      </rPr>
      <t>15 to 20 years</t>
    </r>
    <r>
      <rPr>
        <sz val="11"/>
        <color theme="1"/>
        <rFont val="Arial"/>
        <family val="2"/>
      </rPr>
      <t xml:space="preserve"> sitting in that $500\text{--}700\text{ mm}$ predatory window, continuously consuming forage fish and pollock.</t>
    </r>
  </si>
  <si>
    <t>3. High Gape Ratio Relative to Body Size:</t>
  </si>
  <si>
    <t>Unlike cod or halibut, which require massive body length to swallow large prey, Arrowtooth Flounder have unusually large, deeply cleft mouths equipped with sharp, needle-like canine teeth. A $450\text{--}500\text{ mm}$ female Arrowtooth is already a fully functional, highly aggressive piscivore.</t>
  </si>
  <si>
    <t>age6females only==SSB</t>
  </si>
  <si>
    <t>Monnahan Ferris et al 2024</t>
  </si>
  <si>
    <t>Gape / Predation Cutoff:</t>
  </si>
  <si>
    <r>
      <t xml:space="preserve">A $200\text{--}300\text{ mm}$ salmon smolt can be swallowed by halibut once they reach </t>
    </r>
    <r>
      <rPr>
        <b/>
        <sz val="11"/>
        <color theme="1"/>
        <rFont val="Arial"/>
        <family val="2"/>
      </rPr>
      <t>$\sim 45\text{--}55\text{ cm}$ in length</t>
    </r>
    <r>
      <rPr>
        <sz val="11"/>
        <color theme="1"/>
        <rFont val="Arial"/>
        <family val="2"/>
      </rPr>
      <t xml:space="preserve"> (around </t>
    </r>
    <r>
      <rPr>
        <b/>
        <sz val="11"/>
        <color theme="1"/>
        <rFont val="Arial"/>
        <family val="2"/>
      </rPr>
      <t>Age 4 to 5</t>
    </r>
    <r>
      <rPr>
        <sz val="11"/>
        <color theme="1"/>
        <rFont val="Arial"/>
        <family val="2"/>
      </rPr>
      <t>).</t>
    </r>
  </si>
  <si>
    <t>Because males grow slowly and plateau early ($\sim 70\text{--}85\text{ cm}$ max), older males remain capable of smolt predation, but large adult fish targeting full-sized prey are almost entirely older females.</t>
  </si>
  <si>
    <t>Temporal Changes in Growth (1998–2021 Window):</t>
  </si>
  <si>
    <r>
      <t xml:space="preserve">If your SEM spans 1998–2021, keep in mind that a 12-year-old female in </t>
    </r>
    <r>
      <rPr>
        <b/>
        <sz val="11"/>
        <color theme="1"/>
        <rFont val="Arial"/>
        <family val="2"/>
      </rPr>
      <t>1998</t>
    </r>
    <r>
      <rPr>
        <sz val="11"/>
        <color theme="1"/>
        <rFont val="Arial"/>
        <family val="2"/>
      </rPr>
      <t xml:space="preserve"> was noticeably larger ($\sim 115\text{--}125\text{ cm}$) than a 12-year-old female in </t>
    </r>
    <r>
      <rPr>
        <b/>
        <sz val="11"/>
        <color theme="1"/>
        <rFont val="Arial"/>
        <family val="2"/>
      </rPr>
      <t>2015</t>
    </r>
    <r>
      <rPr>
        <sz val="11"/>
        <color theme="1"/>
        <rFont val="Arial"/>
        <family val="2"/>
      </rPr>
      <t xml:space="preserve"> ($\sim 95\text{--}105\text{ cm}$).</t>
    </r>
  </si>
  <si>
    <r>
      <t xml:space="preserve">Using </t>
    </r>
    <r>
      <rPr>
        <b/>
        <sz val="11"/>
        <color theme="1"/>
        <rFont val="Arial"/>
        <family val="2"/>
      </rPr>
      <t>Spawning Stock Biomass (SSB)</t>
    </r>
    <r>
      <rPr>
        <sz val="11"/>
        <color theme="1"/>
        <rFont val="Arial"/>
        <family val="2"/>
      </rPr>
      <t xml:space="preserve"> or the IPHC's </t>
    </r>
    <r>
      <rPr>
        <b/>
        <sz val="11"/>
        <color theme="1"/>
        <rFont val="Arial"/>
        <family val="2"/>
      </rPr>
      <t>High-Seas Setline Survey WPUE (Weight-Per-Unit-Effort)</t>
    </r>
    <r>
      <rPr>
        <sz val="11"/>
        <color theme="1"/>
        <rFont val="Arial"/>
        <family val="2"/>
      </rPr>
      <t xml:space="preserve"> vector for Area 3A/3B naturally absorbs these size-at-age growth shifts over time better than raw numerical abundance.</t>
    </r>
  </si>
  <si>
    <t>Predator Node</t>
  </si>
  <si>
    <t>Recommended Vector</t>
  </si>
  <si>
    <t>Assessment Source</t>
  </si>
  <si>
    <t>Primary Justification</t>
  </si>
  <si>
    <t>Total Biomass (Age-2+)</t>
  </si>
  <si>
    <t>Goethel et al., Table 3.15</t>
  </si>
  <si>
    <t>Rapid early growth ($35+\text{ cm}$ at Age 2); captures benthopelagic foragers.</t>
  </si>
  <si>
    <t>Walleye Pollock</t>
  </si>
  <si>
    <t>Spawning Stock Biomass (SSB)</t>
  </si>
  <si>
    <t>Monnahan et al., Table 1.23</t>
  </si>
  <si>
    <t>Filters out Age-1 to Age-3 recruits; isolates $40+\text{ cm}$ piscivorous adult field.</t>
  </si>
  <si>
    <t>Pacific Halibut</t>
  </si>
  <si>
    <t>Spawning Biomass (SB)</t>
  </si>
  <si>
    <t>Stewart &amp; Hicks, Table 1</t>
  </si>
  <si>
    <t>Filters out smaller males; isolates large apex females ($&gt;85\text{ cm}$).</t>
  </si>
  <si>
    <t>Pacific Cod</t>
  </si>
  <si>
    <t>Hulson et al., Table 2.7</t>
  </si>
  <si>
    <t>Removes Age 0–2 noise; male and female maturity rates match closely at Age 4–5.</t>
  </si>
  <si>
    <t>Female Spawning Biomass (FSB)</t>
  </si>
  <si>
    <t>Shotwell et al., Table 7.16</t>
  </si>
  <si>
    <t>Males stay small ($&lt;45\text{ cm}$); FSB isolates large predatory females ($\ge 500\text{ mm}$).</t>
  </si>
  <si>
    <t>Index / Vector Selected</t>
  </si>
  <si>
    <t>Lag / Adjustment</t>
  </si>
  <si>
    <t>Final Target Ecological Stage</t>
  </si>
  <si>
    <r>
      <t xml:space="preserve">Approximates </t>
    </r>
    <r>
      <rPr>
        <b/>
        <sz val="11"/>
        <color theme="1"/>
        <rFont val="Arial"/>
        <family val="2"/>
      </rPr>
      <t>Age-3+</t>
    </r>
    <r>
      <rPr>
        <sz val="11"/>
        <color theme="1"/>
        <rFont val="Arial"/>
        <family val="2"/>
      </rPr>
      <t xml:space="preserve"> ($400+\text{ mm}$ benthopelagic field)</t>
    </r>
  </si>
  <si>
    <t>No lag needed</t>
  </si>
  <si>
    <r>
      <t xml:space="preserve">Isolates </t>
    </r>
    <r>
      <rPr>
        <b/>
        <sz val="11"/>
        <color theme="1"/>
        <rFont val="Arial"/>
        <family val="2"/>
      </rPr>
      <t>Age-4/5+</t>
    </r>
    <r>
      <rPr>
        <sz val="11"/>
        <color theme="1"/>
        <rFont val="Arial"/>
        <family val="2"/>
      </rPr>
      <t xml:space="preserve"> ($40+\text{ cm}$ piscivorous adult field)</t>
    </r>
  </si>
  <si>
    <r>
      <t xml:space="preserve">Isolates </t>
    </r>
    <r>
      <rPr>
        <b/>
        <sz val="11"/>
        <color theme="1"/>
        <rFont val="Arial"/>
        <family val="2"/>
      </rPr>
      <t>Large Apex Females</t>
    </r>
    <r>
      <rPr>
        <sz val="11"/>
        <color theme="1"/>
        <rFont val="Arial"/>
        <family val="2"/>
      </rPr>
      <t xml:space="preserve"> ($&gt;85\text{ cm}$)</t>
    </r>
  </si>
  <si>
    <r>
      <t xml:space="preserve">Isolates </t>
    </r>
    <r>
      <rPr>
        <b/>
        <sz val="11"/>
        <color theme="1"/>
        <rFont val="Arial"/>
        <family val="2"/>
      </rPr>
      <t>Age-4/5+</t>
    </r>
    <r>
      <rPr>
        <sz val="11"/>
        <color theme="1"/>
        <rFont val="Arial"/>
        <family val="2"/>
      </rPr>
      <t xml:space="preserve"> ($50+\text{ cm}$ adult predators)</t>
    </r>
  </si>
  <si>
    <r>
      <t xml:space="preserve">Isolates </t>
    </r>
    <r>
      <rPr>
        <b/>
        <sz val="11"/>
        <color theme="1"/>
        <rFont val="Arial"/>
        <family val="2"/>
      </rPr>
      <t>Age-6+ Females</t>
    </r>
    <r>
      <rPr>
        <sz val="11"/>
        <color theme="1"/>
        <rFont val="Arial"/>
        <family val="2"/>
      </rPr>
      <t xml:space="preserve"> ($\ge 500\text{ mm}$ large gape predators)</t>
    </r>
  </si>
  <si>
    <t>1or2-Year Lag ($t-1$)</t>
  </si>
  <si>
    <r>
      <t>Switch to a 2-Year Lag ($t - 2$) if you strictly treat them as "Smolt Predators":</t>
    </r>
    <r>
      <rPr>
        <sz val="11"/>
        <color theme="1"/>
        <rFont val="Calibri"/>
        <family val="2"/>
        <scheme val="minor"/>
      </rPr>
      <t xml:space="preserve"> If your node is explicitly hypothesized as a direct top-down </t>
    </r>
    <r>
      <rPr>
        <i/>
        <sz val="11"/>
        <color theme="1"/>
        <rFont val="Arial"/>
        <family val="2"/>
      </rPr>
      <t>predator</t>
    </r>
    <r>
      <rPr>
        <sz val="11"/>
        <color theme="1"/>
        <rFont val="Calibri"/>
        <family val="2"/>
        <scheme val="minor"/>
      </rPr>
      <t xml:space="preserve"> capable of swallowing a </t>
    </r>
    <r>
      <rPr>
        <sz val="11"/>
        <color theme="1"/>
        <rFont val="Arial"/>
        <family val="2"/>
      </rPr>
      <t>$250\text{ mm}$</t>
    </r>
    <r>
      <rPr>
        <sz val="11"/>
        <color theme="1"/>
        <rFont val="Calibri"/>
        <family val="2"/>
        <scheme val="minor"/>
      </rPr>
      <t xml:space="preserve"> Chinook smolt, Age-3 fish (</t>
    </r>
    <r>
      <rPr>
        <sz val="11"/>
        <color theme="1"/>
        <rFont val="Arial"/>
        <family val="2"/>
      </rPr>
      <t>$\sim 400\text{ mm}$</t>
    </r>
    <r>
      <rPr>
        <sz val="11"/>
        <color theme="1"/>
        <rFont val="Calibri"/>
        <family val="2"/>
        <scheme val="minor"/>
      </rPr>
      <t xml:space="preserve">) are right on the gape boundary. By </t>
    </r>
    <r>
      <rPr>
        <b/>
        <sz val="11"/>
        <color theme="1"/>
        <rFont val="Arial"/>
        <family val="2"/>
      </rPr>
      <t>Age 4</t>
    </r>
    <r>
      <rPr>
        <sz val="11"/>
        <color theme="1"/>
        <rFont val="Calibri"/>
        <family val="2"/>
        <scheme val="minor"/>
      </rPr>
      <t xml:space="preserve"> (</t>
    </r>
    <r>
      <rPr>
        <sz val="11"/>
        <color theme="1"/>
        <rFont val="Arial"/>
        <family val="2"/>
      </rPr>
      <t>$\ge 500\text{ mm}$</t>
    </r>
    <r>
      <rPr>
        <sz val="11"/>
        <color theme="1"/>
        <rFont val="Calibri"/>
        <family val="2"/>
        <scheme val="minor"/>
      </rPr>
      <t>, 2-year lag), their gape width easily accommodates large smolts.</t>
    </r>
  </si>
  <si>
    <t>so I will use spawning biomass for all of them except sablefish, because either we want to capitalize on the faster growth rates of females (halibut) or there is an even sex ratio, so it is proportional to total biomass at the right age (all the others). for sablefish I will lag by 2.</t>
  </si>
  <si>
    <t>1. Derive Age-2 Directly from the Age-1 Vector (Easiest Method)</t>
  </si>
  <si>
    <r>
      <t xml:space="preserve">Because Age-2 abundance in year $y$ is simply the Age-1 recruitment from the previous year ($y-1$) adjusted for natural mortality ($M$), you can generate a clean, continuous </t>
    </r>
    <r>
      <rPr>
        <b/>
        <sz val="11"/>
        <color theme="1"/>
        <rFont val="Arial"/>
        <family val="2"/>
      </rPr>
      <t>Age-1 + Age-2 Abundance Proxy</t>
    </r>
    <r>
      <rPr>
        <sz val="11"/>
        <color theme="1"/>
        <rFont val="Arial"/>
        <family val="2"/>
      </rPr>
      <t xml:space="preserve"> directly in R using the reported </t>
    </r>
    <r>
      <rPr>
        <b/>
        <sz val="11"/>
        <color theme="1"/>
        <rFont val="Arial"/>
        <family val="2"/>
      </rPr>
      <t>Age-1 Recruitment series</t>
    </r>
    <r>
      <rPr>
        <sz val="11"/>
        <color theme="1"/>
        <rFont val="Arial"/>
        <family val="2"/>
      </rPr>
      <t>:</t>
    </r>
  </si>
  <si>
    <t>For GOA pollock, the model uses a base natural mortality for young fish around $M \approx 0.3\text{--}0.4$.</t>
  </si>
  <si>
    <t>library(dplyr)</t>
  </si>
  <si>
    <t># Assume 'pollock_data' has 'year' and 'age1_recruitment' (from the SAFE executive summary)</t>
  </si>
  <si>
    <t>pollock_data &lt;- pollock_data %&gt;%</t>
  </si>
  <si>
    <t xml:space="preserve">  mutate(</t>
  </si>
  <si>
    <t xml:space="preserve">    # Age-2 in year t is Age-1 from year t-1 surviving at rate exp(-M)</t>
  </si>
  <si>
    <t xml:space="preserve">    age2_abundance = lag(age1_recruitment</t>
  </si>
  <si>
    <t xml:space="preserve"> 1) * exp(-0.35)</t>
  </si>
  <si>
    <t xml:space="preserve">    </t>
  </si>
  <si>
    <t xml:space="preserve">    # Combined Juvenile Pollock Prey Vector (Age-1 + Age-2)</t>
  </si>
  <si>
    <t xml:space="preserve">    juv_pollock_prey_vector = age1_recruitment + age2_abundance</t>
  </si>
  <si>
    <t xml:space="preserve">  )</t>
  </si>
  <si>
    <t>altprey</t>
  </si>
  <si>
    <t>pollock age1+age2</t>
  </si>
  <si>
    <t>age1_recruitment + lag(age1_recruitment, 1) * exp(-M)</t>
  </si>
  <si>
    <t>ADFG herring stock assessment</t>
  </si>
  <si>
    <t>https://www.adfg.alaska.gov/index.cfm?adfg=commercialbyareasoutheast.herring#research</t>
  </si>
  <si>
    <t xml:space="preserve">For altprey, I'll just use pollock age1+age2: </t>
  </si>
  <si>
    <t>age1_recruitment + lag(age1_recruitment, 1) * exp(-M) where M= -0.35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</si>
</sst>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b/>
      <sz val="11"/>
      <color theme="1"/>
      <name val="Arial"/>
      <family val="2"/>
    </font>
    <font>
      <sz val="11"/>
      <color theme="1"/>
      <name val="Arial"/>
      <family val="2"/>
    </font>
    <font>
      <b/>
      <sz val="13.5"/>
      <color theme="1"/>
      <name val="Arial"/>
      <family val="2"/>
    </font>
    <font>
      <i/>
      <sz val="11"/>
      <color theme="1"/>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4C7C5"/>
      </left>
      <right style="medium">
        <color rgb="FFC4C7C5"/>
      </right>
      <top style="medium">
        <color rgb="FFC4C7C5"/>
      </top>
      <bottom style="medium">
        <color rgb="FFC4C7C5"/>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0" xfId="0" applyAlignment="1">
      <alignment wrapText="1"/>
    </xf>
    <xf numFmtId="0" fontId="0" fillId="0" borderId="0" xfId="0" applyAlignment="1"/>
    <xf numFmtId="0" fontId="0" fillId="33" borderId="0" xfId="0" applyFill="1"/>
    <xf numFmtId="49" fontId="0" fillId="0" borderId="0" xfId="0" quotePrefix="1" applyNumberFormat="1"/>
    <xf numFmtId="0" fontId="16" fillId="0" borderId="0" xfId="0" applyFont="1"/>
    <xf numFmtId="0" fontId="0" fillId="0" borderId="0" xfId="0" applyAlignment="1">
      <alignment vertical="center"/>
    </xf>
    <xf numFmtId="0" fontId="21" fillId="0" borderId="0" xfId="0" applyFont="1" applyAlignment="1">
      <alignment vertical="center"/>
    </xf>
    <xf numFmtId="0" fontId="20" fillId="0" borderId="0" xfId="0" applyFont="1" applyAlignment="1">
      <alignment vertical="center"/>
    </xf>
    <xf numFmtId="0" fontId="19" fillId="0" borderId="10" xfId="0" applyFont="1" applyBorder="1" applyAlignment="1">
      <alignment horizontal="left" vertical="center" wrapText="1" indent="1"/>
    </xf>
    <xf numFmtId="0" fontId="20" fillId="0" borderId="10" xfId="0" applyFont="1" applyBorder="1" applyAlignment="1">
      <alignment horizontal="left" vertical="center" wrapText="1" indent="1"/>
    </xf>
    <xf numFmtId="0" fontId="0" fillId="0" borderId="0" xfId="0" applyAlignment="1">
      <alignment horizontal="left" vertical="center" indent="1"/>
    </xf>
    <xf numFmtId="0" fontId="19" fillId="0" borderId="0" xfId="0" applyFont="1" applyAlignment="1">
      <alignment horizontal="left" vertical="center" indent="1"/>
    </xf>
    <xf numFmtId="0" fontId="20" fillId="0" borderId="0" xfId="0" applyFont="1" applyAlignment="1">
      <alignment horizontal="left" vertical="center" indent="1"/>
    </xf>
    <xf numFmtId="0" fontId="19" fillId="0" borderId="0" xfId="0" applyFont="1" applyAlignment="1">
      <alignment vertical="center"/>
    </xf>
    <xf numFmtId="0" fontId="19" fillId="0" borderId="0" xfId="0" applyFont="1" applyAlignment="1">
      <alignment wrapText="1"/>
    </xf>
    <xf numFmtId="0" fontId="0" fillId="0" borderId="0" xfId="0"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openxmlformats.org/officeDocument/2006/relationships/image" Target="../media/image4.emf"/></Relationships>
</file>

<file path=xl/drawings/_rels/drawing4.x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s>
</file>

<file path=xl/drawings/_rels/drawing6.x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editAs="oneCell">
    <xdr:from>
      <xdr:col>1</xdr:col>
      <xdr:colOff>480060</xdr:colOff>
      <xdr:row>3</xdr:row>
      <xdr:rowOff>274320</xdr:rowOff>
    </xdr:from>
    <xdr:to>
      <xdr:col>6</xdr:col>
      <xdr:colOff>1196340</xdr:colOff>
      <xdr:row>9</xdr:row>
      <xdr:rowOff>76200</xdr:rowOff>
    </xdr:to>
    <xdr:pic>
      <xdr:nvPicPr>
        <xdr:cNvPr id="2" name="Picture 1">
          <a:extLst>
            <a:ext uri="{FF2B5EF4-FFF2-40B4-BE49-F238E27FC236}">
              <a16:creationId xmlns:a16="http://schemas.microsoft.com/office/drawing/2014/main" id="{3582818E-D65E-49E0-B161-2221C3D212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78780" y="822960"/>
          <a:ext cx="4594860" cy="4732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1257300</xdr:colOff>
      <xdr:row>3</xdr:row>
      <xdr:rowOff>152400</xdr:rowOff>
    </xdr:from>
    <xdr:to>
      <xdr:col>9</xdr:col>
      <xdr:colOff>190500</xdr:colOff>
      <xdr:row>10</xdr:row>
      <xdr:rowOff>175260</xdr:rowOff>
    </xdr:to>
    <xdr:pic>
      <xdr:nvPicPr>
        <xdr:cNvPr id="3" name="Picture 2">
          <a:extLst>
            <a:ext uri="{FF2B5EF4-FFF2-40B4-BE49-F238E27FC236}">
              <a16:creationId xmlns:a16="http://schemas.microsoft.com/office/drawing/2014/main" id="{F846D65C-8185-4DC8-9978-524987532C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34600" y="701040"/>
          <a:ext cx="4411980" cy="5135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350520</xdr:colOff>
      <xdr:row>12</xdr:row>
      <xdr:rowOff>60960</xdr:rowOff>
    </xdr:from>
    <xdr:to>
      <xdr:col>11</xdr:col>
      <xdr:colOff>556260</xdr:colOff>
      <xdr:row>41</xdr:row>
      <xdr:rowOff>106680</xdr:rowOff>
    </xdr:to>
    <xdr:pic>
      <xdr:nvPicPr>
        <xdr:cNvPr id="2" name="Picture 1">
          <a:extLst>
            <a:ext uri="{FF2B5EF4-FFF2-40B4-BE49-F238E27FC236}">
              <a16:creationId xmlns:a16="http://schemas.microsoft.com/office/drawing/2014/main" id="{692D513F-FF3A-43F1-A54C-9CC39CB110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54780" y="2072640"/>
          <a:ext cx="4472940" cy="5349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35859</xdr:colOff>
      <xdr:row>1</xdr:row>
      <xdr:rowOff>215153</xdr:rowOff>
    </xdr:from>
    <xdr:to>
      <xdr:col>17</xdr:col>
      <xdr:colOff>576879</xdr:colOff>
      <xdr:row>14</xdr:row>
      <xdr:rowOff>283285</xdr:rowOff>
    </xdr:to>
    <xdr:pic>
      <xdr:nvPicPr>
        <xdr:cNvPr id="2" name="Picture 1">
          <a:extLst>
            <a:ext uri="{FF2B5EF4-FFF2-40B4-BE49-F238E27FC236}">
              <a16:creationId xmlns:a16="http://schemas.microsoft.com/office/drawing/2014/main" id="{ABD2906A-31E0-49B5-95FD-D1DBC4DADB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62683" y="394447"/>
          <a:ext cx="4808220" cy="5482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8</xdr:col>
      <xdr:colOff>83820</xdr:colOff>
      <xdr:row>33</xdr:row>
      <xdr:rowOff>129540</xdr:rowOff>
    </xdr:to>
    <xdr:pic>
      <xdr:nvPicPr>
        <xdr:cNvPr id="2" name="Picture 1">
          <a:extLst>
            <a:ext uri="{FF2B5EF4-FFF2-40B4-BE49-F238E27FC236}">
              <a16:creationId xmlns:a16="http://schemas.microsoft.com/office/drawing/2014/main" id="{F497A477-8C02-443D-8D5A-811931A7AF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914400"/>
          <a:ext cx="4351020" cy="5250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5</xdr:row>
      <xdr:rowOff>0</xdr:rowOff>
    </xdr:from>
    <xdr:to>
      <xdr:col>16</xdr:col>
      <xdr:colOff>358140</xdr:colOff>
      <xdr:row>21</xdr:row>
      <xdr:rowOff>38100</xdr:rowOff>
    </xdr:to>
    <xdr:pic>
      <xdr:nvPicPr>
        <xdr:cNvPr id="3" name="Picture 2">
          <a:extLst>
            <a:ext uri="{FF2B5EF4-FFF2-40B4-BE49-F238E27FC236}">
              <a16:creationId xmlns:a16="http://schemas.microsoft.com/office/drawing/2014/main" id="{1208F4A0-22AF-4B9D-8E2A-771772623F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000" y="914400"/>
          <a:ext cx="4015740" cy="2964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7</xdr:col>
      <xdr:colOff>510540</xdr:colOff>
      <xdr:row>12</xdr:row>
      <xdr:rowOff>53340</xdr:rowOff>
    </xdr:to>
    <xdr:pic>
      <xdr:nvPicPr>
        <xdr:cNvPr id="2" name="Picture 1">
          <a:extLst>
            <a:ext uri="{FF2B5EF4-FFF2-40B4-BE49-F238E27FC236}">
              <a16:creationId xmlns:a16="http://schemas.microsoft.com/office/drawing/2014/main" id="{507FE061-1422-4CF2-BF67-B241CB2512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2880"/>
          <a:ext cx="4777740" cy="2065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342900</xdr:colOff>
      <xdr:row>7</xdr:row>
      <xdr:rowOff>137160</xdr:rowOff>
    </xdr:from>
    <xdr:to>
      <xdr:col>14</xdr:col>
      <xdr:colOff>495300</xdr:colOff>
      <xdr:row>11</xdr:row>
      <xdr:rowOff>137160</xdr:rowOff>
    </xdr:to>
    <xdr:pic>
      <xdr:nvPicPr>
        <xdr:cNvPr id="3" name="Picture 2">
          <a:extLst>
            <a:ext uri="{FF2B5EF4-FFF2-40B4-BE49-F238E27FC236}">
              <a16:creationId xmlns:a16="http://schemas.microsoft.com/office/drawing/2014/main" id="{483183DD-51FB-4688-A154-1D84E09454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10100" y="1417320"/>
          <a:ext cx="4419600" cy="731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xdr:row>
      <xdr:rowOff>0</xdr:rowOff>
    </xdr:from>
    <xdr:to>
      <xdr:col>8</xdr:col>
      <xdr:colOff>297180</xdr:colOff>
      <xdr:row>43</xdr:row>
      <xdr:rowOff>167640</xdr:rowOff>
    </xdr:to>
    <xdr:pic>
      <xdr:nvPicPr>
        <xdr:cNvPr id="4" name="Picture 3">
          <a:extLst>
            <a:ext uri="{FF2B5EF4-FFF2-40B4-BE49-F238E27FC236}">
              <a16:creationId xmlns:a16="http://schemas.microsoft.com/office/drawing/2014/main" id="{F2BAA1D8-C65B-4AC7-A18A-BA68F68CA4D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9600" y="2377440"/>
          <a:ext cx="4564380" cy="5692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8</xdr:col>
      <xdr:colOff>205740</xdr:colOff>
      <xdr:row>32</xdr:row>
      <xdr:rowOff>91440</xdr:rowOff>
    </xdr:to>
    <xdr:pic>
      <xdr:nvPicPr>
        <xdr:cNvPr id="2" name="Picture 1">
          <a:extLst>
            <a:ext uri="{FF2B5EF4-FFF2-40B4-BE49-F238E27FC236}">
              <a16:creationId xmlns:a16="http://schemas.microsoft.com/office/drawing/2014/main" id="{668A76FA-CF2E-4BF8-87EC-B5F56C669E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65760"/>
          <a:ext cx="4472940" cy="5577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V140"/>
  <sheetViews>
    <sheetView topLeftCell="A120" workbookViewId="0">
      <selection activeCell="B127" sqref="B127"/>
    </sheetView>
  </sheetViews>
  <sheetFormatPr defaultRowHeight="14.4" x14ac:dyDescent="0.3"/>
  <cols>
    <col min="2" max="2" width="43.109375" bestFit="1" customWidth="1"/>
    <col min="3" max="3" width="39.77734375" bestFit="1" customWidth="1"/>
    <col min="22" max="22" width="21.7773437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hidden="1" x14ac:dyDescent="0.3">
      <c r="A2">
        <v>31</v>
      </c>
      <c r="B2" t="s">
        <v>22</v>
      </c>
      <c r="C2" t="s">
        <v>22</v>
      </c>
      <c r="D2" t="s">
        <v>23</v>
      </c>
      <c r="E2" t="s">
        <v>24</v>
      </c>
      <c r="F2" t="s">
        <v>25</v>
      </c>
      <c r="G2" t="s">
        <v>26</v>
      </c>
      <c r="H2" t="s">
        <v>27</v>
      </c>
      <c r="I2" t="s">
        <v>28</v>
      </c>
      <c r="J2" t="s">
        <v>29</v>
      </c>
      <c r="K2" t="s">
        <v>30</v>
      </c>
      <c r="L2" t="s">
        <v>31</v>
      </c>
      <c r="M2" t="s">
        <v>22</v>
      </c>
      <c r="N2" t="s">
        <v>32</v>
      </c>
      <c r="O2" t="s">
        <v>33</v>
      </c>
      <c r="P2" t="s">
        <v>33</v>
      </c>
      <c r="Q2" t="s">
        <v>34</v>
      </c>
      <c r="R2" t="s">
        <v>35</v>
      </c>
      <c r="S2" t="s">
        <v>36</v>
      </c>
      <c r="T2" t="s">
        <v>37</v>
      </c>
      <c r="U2" t="s">
        <v>33</v>
      </c>
      <c r="V2" t="s">
        <v>33</v>
      </c>
    </row>
    <row r="3" spans="1:22" hidden="1" x14ac:dyDescent="0.3">
      <c r="A3">
        <v>32</v>
      </c>
      <c r="B3" t="s">
        <v>38</v>
      </c>
      <c r="C3" t="s">
        <v>38</v>
      </c>
      <c r="D3" t="s">
        <v>23</v>
      </c>
      <c r="E3" t="s">
        <v>24</v>
      </c>
      <c r="F3" t="s">
        <v>25</v>
      </c>
      <c r="G3" t="s">
        <v>26</v>
      </c>
      <c r="H3" t="s">
        <v>27</v>
      </c>
      <c r="I3" t="s">
        <v>28</v>
      </c>
      <c r="J3" t="s">
        <v>29</v>
      </c>
      <c r="K3" t="s">
        <v>30</v>
      </c>
      <c r="L3" t="s">
        <v>31</v>
      </c>
      <c r="M3" t="s">
        <v>38</v>
      </c>
      <c r="N3" t="s">
        <v>32</v>
      </c>
      <c r="O3" t="s">
        <v>39</v>
      </c>
      <c r="P3" t="s">
        <v>39</v>
      </c>
      <c r="Q3" t="s">
        <v>34</v>
      </c>
      <c r="R3" t="s">
        <v>35</v>
      </c>
      <c r="S3" t="s">
        <v>36</v>
      </c>
      <c r="T3" t="s">
        <v>37</v>
      </c>
      <c r="U3" t="s">
        <v>33</v>
      </c>
      <c r="V3" t="s">
        <v>33</v>
      </c>
    </row>
    <row r="4" spans="1:22" hidden="1" x14ac:dyDescent="0.3">
      <c r="A4">
        <v>33</v>
      </c>
      <c r="B4" t="s">
        <v>40</v>
      </c>
      <c r="C4" t="s">
        <v>40</v>
      </c>
      <c r="D4" t="s">
        <v>23</v>
      </c>
      <c r="E4" t="s">
        <v>24</v>
      </c>
      <c r="F4" t="s">
        <v>25</v>
      </c>
      <c r="G4" t="s">
        <v>26</v>
      </c>
      <c r="H4" t="s">
        <v>27</v>
      </c>
      <c r="I4" t="s">
        <v>28</v>
      </c>
      <c r="J4" t="s">
        <v>29</v>
      </c>
      <c r="K4" t="s">
        <v>30</v>
      </c>
      <c r="L4" t="s">
        <v>31</v>
      </c>
      <c r="M4" t="s">
        <v>40</v>
      </c>
      <c r="N4" t="s">
        <v>32</v>
      </c>
      <c r="O4" t="s">
        <v>41</v>
      </c>
      <c r="P4" t="s">
        <v>41</v>
      </c>
      <c r="Q4" t="s">
        <v>34</v>
      </c>
      <c r="R4" t="s">
        <v>35</v>
      </c>
      <c r="S4" t="s">
        <v>36</v>
      </c>
      <c r="T4" t="s">
        <v>37</v>
      </c>
      <c r="U4" t="s">
        <v>33</v>
      </c>
      <c r="V4" t="s">
        <v>33</v>
      </c>
    </row>
    <row r="5" spans="1:22" hidden="1" x14ac:dyDescent="0.3">
      <c r="A5">
        <v>34</v>
      </c>
      <c r="B5" t="s">
        <v>42</v>
      </c>
      <c r="C5" t="s">
        <v>43</v>
      </c>
      <c r="D5" t="s">
        <v>44</v>
      </c>
      <c r="E5" t="s">
        <v>24</v>
      </c>
      <c r="F5" t="s">
        <v>25</v>
      </c>
      <c r="G5" t="s">
        <v>45</v>
      </c>
      <c r="H5" t="s">
        <v>46</v>
      </c>
      <c r="I5" t="s">
        <v>28</v>
      </c>
      <c r="J5" t="s">
        <v>29</v>
      </c>
      <c r="K5" t="s">
        <v>30</v>
      </c>
      <c r="L5" t="s">
        <v>32</v>
      </c>
      <c r="M5" t="s">
        <v>43</v>
      </c>
      <c r="N5" t="s">
        <v>32</v>
      </c>
      <c r="O5" t="s">
        <v>47</v>
      </c>
      <c r="P5" t="s">
        <v>47</v>
      </c>
      <c r="Q5" t="s">
        <v>48</v>
      </c>
      <c r="R5" t="s">
        <v>49</v>
      </c>
      <c r="S5" t="s">
        <v>36</v>
      </c>
      <c r="T5" t="s">
        <v>37</v>
      </c>
      <c r="U5" t="s">
        <v>47</v>
      </c>
      <c r="V5" t="s">
        <v>47</v>
      </c>
    </row>
    <row r="6" spans="1:22" hidden="1" x14ac:dyDescent="0.3">
      <c r="A6">
        <v>35</v>
      </c>
      <c r="B6" t="s">
        <v>50</v>
      </c>
      <c r="C6" t="s">
        <v>50</v>
      </c>
      <c r="D6" t="s">
        <v>51</v>
      </c>
      <c r="E6" t="s">
        <v>24</v>
      </c>
      <c r="F6" t="s">
        <v>25</v>
      </c>
      <c r="G6" t="s">
        <v>52</v>
      </c>
      <c r="H6" t="s">
        <v>28</v>
      </c>
      <c r="I6" t="s">
        <v>28</v>
      </c>
      <c r="J6" t="s">
        <v>29</v>
      </c>
      <c r="K6" t="s">
        <v>30</v>
      </c>
      <c r="L6" t="s">
        <v>32</v>
      </c>
      <c r="M6" t="s">
        <v>50</v>
      </c>
      <c r="N6" t="s">
        <v>32</v>
      </c>
      <c r="O6" t="s">
        <v>47</v>
      </c>
      <c r="P6" t="s">
        <v>47</v>
      </c>
      <c r="Q6" t="s">
        <v>48</v>
      </c>
      <c r="R6" t="s">
        <v>53</v>
      </c>
      <c r="S6" t="s">
        <v>36</v>
      </c>
      <c r="T6" t="s">
        <v>37</v>
      </c>
      <c r="U6" t="s">
        <v>47</v>
      </c>
      <c r="V6" t="s">
        <v>47</v>
      </c>
    </row>
    <row r="7" spans="1:22" hidden="1" x14ac:dyDescent="0.3">
      <c r="A7">
        <v>36</v>
      </c>
      <c r="B7" t="s">
        <v>54</v>
      </c>
      <c r="C7" t="s">
        <v>54</v>
      </c>
      <c r="D7" t="s">
        <v>51</v>
      </c>
      <c r="E7" t="s">
        <v>24</v>
      </c>
      <c r="F7" t="s">
        <v>25</v>
      </c>
      <c r="G7" t="s">
        <v>52</v>
      </c>
      <c r="H7" t="s">
        <v>28</v>
      </c>
      <c r="I7" t="s">
        <v>28</v>
      </c>
      <c r="J7" t="s">
        <v>29</v>
      </c>
      <c r="K7" t="s">
        <v>30</v>
      </c>
      <c r="L7" t="s">
        <v>32</v>
      </c>
      <c r="M7" t="s">
        <v>54</v>
      </c>
      <c r="N7" t="s">
        <v>32</v>
      </c>
      <c r="O7" t="s">
        <v>47</v>
      </c>
      <c r="P7" t="s">
        <v>47</v>
      </c>
      <c r="Q7" t="s">
        <v>48</v>
      </c>
      <c r="R7" t="s">
        <v>53</v>
      </c>
      <c r="S7" t="s">
        <v>36</v>
      </c>
      <c r="T7" t="s">
        <v>37</v>
      </c>
      <c r="U7" t="s">
        <v>47</v>
      </c>
      <c r="V7" t="s">
        <v>47</v>
      </c>
    </row>
    <row r="8" spans="1:22" hidden="1" x14ac:dyDescent="0.3">
      <c r="A8">
        <v>37</v>
      </c>
      <c r="B8" t="s">
        <v>55</v>
      </c>
      <c r="C8" t="s">
        <v>55</v>
      </c>
      <c r="D8" t="s">
        <v>23</v>
      </c>
      <c r="E8" t="s">
        <v>24</v>
      </c>
      <c r="F8" t="s">
        <v>25</v>
      </c>
      <c r="G8" t="s">
        <v>26</v>
      </c>
      <c r="H8" t="s">
        <v>27</v>
      </c>
      <c r="I8" t="s">
        <v>28</v>
      </c>
      <c r="J8" t="s">
        <v>29</v>
      </c>
      <c r="K8" t="s">
        <v>30</v>
      </c>
      <c r="L8" t="s">
        <v>32</v>
      </c>
      <c r="M8" t="s">
        <v>55</v>
      </c>
      <c r="N8" t="s">
        <v>32</v>
      </c>
      <c r="O8" t="s">
        <v>56</v>
      </c>
      <c r="P8" t="s">
        <v>56</v>
      </c>
      <c r="Q8" t="s">
        <v>34</v>
      </c>
      <c r="R8" t="s">
        <v>35</v>
      </c>
      <c r="S8" t="s">
        <v>36</v>
      </c>
      <c r="T8" t="s">
        <v>37</v>
      </c>
      <c r="U8" t="s">
        <v>47</v>
      </c>
      <c r="V8" t="s">
        <v>47</v>
      </c>
    </row>
    <row r="9" spans="1:22" hidden="1" x14ac:dyDescent="0.3">
      <c r="A9">
        <v>38</v>
      </c>
      <c r="B9" t="s">
        <v>57</v>
      </c>
      <c r="C9" t="s">
        <v>58</v>
      </c>
      <c r="D9" t="s">
        <v>59</v>
      </c>
      <c r="E9" t="s">
        <v>24</v>
      </c>
      <c r="F9" t="s">
        <v>25</v>
      </c>
      <c r="G9" t="s">
        <v>60</v>
      </c>
      <c r="H9" t="s">
        <v>28</v>
      </c>
      <c r="I9" t="s">
        <v>28</v>
      </c>
      <c r="J9" t="s">
        <v>29</v>
      </c>
      <c r="K9" t="s">
        <v>30</v>
      </c>
      <c r="L9" t="s">
        <v>32</v>
      </c>
      <c r="M9" t="s">
        <v>58</v>
      </c>
      <c r="N9" t="s">
        <v>32</v>
      </c>
      <c r="O9" t="s">
        <v>61</v>
      </c>
      <c r="P9" t="s">
        <v>61</v>
      </c>
      <c r="Q9" t="s">
        <v>62</v>
      </c>
      <c r="R9" t="s">
        <v>63</v>
      </c>
      <c r="S9" t="s">
        <v>36</v>
      </c>
      <c r="T9" t="s">
        <v>37</v>
      </c>
      <c r="U9" t="s">
        <v>47</v>
      </c>
      <c r="V9" t="s">
        <v>47</v>
      </c>
    </row>
    <row r="10" spans="1:22" hidden="1" x14ac:dyDescent="0.3">
      <c r="A10">
        <v>39</v>
      </c>
      <c r="B10" t="s">
        <v>64</v>
      </c>
      <c r="C10" t="s">
        <v>65</v>
      </c>
      <c r="D10" t="s">
        <v>66</v>
      </c>
      <c r="E10" t="s">
        <v>24</v>
      </c>
      <c r="F10" t="s">
        <v>25</v>
      </c>
      <c r="G10" t="s">
        <v>52</v>
      </c>
      <c r="H10" t="s">
        <v>67</v>
      </c>
      <c r="I10" t="s">
        <v>28</v>
      </c>
      <c r="J10" t="s">
        <v>29</v>
      </c>
      <c r="K10" t="s">
        <v>30</v>
      </c>
      <c r="L10" t="s">
        <v>32</v>
      </c>
      <c r="M10" t="s">
        <v>65</v>
      </c>
      <c r="N10" t="s">
        <v>32</v>
      </c>
      <c r="O10" t="s">
        <v>68</v>
      </c>
      <c r="P10" t="s">
        <v>68</v>
      </c>
      <c r="Q10" t="s">
        <v>69</v>
      </c>
      <c r="R10" t="s">
        <v>70</v>
      </c>
      <c r="S10" t="s">
        <v>36</v>
      </c>
      <c r="T10" t="s">
        <v>37</v>
      </c>
      <c r="U10" t="s">
        <v>68</v>
      </c>
      <c r="V10" t="s">
        <v>68</v>
      </c>
    </row>
    <row r="11" spans="1:22" hidden="1" x14ac:dyDescent="0.3">
      <c r="A11">
        <v>40</v>
      </c>
      <c r="B11" t="s">
        <v>71</v>
      </c>
      <c r="C11" t="s">
        <v>72</v>
      </c>
      <c r="D11" t="s">
        <v>66</v>
      </c>
      <c r="E11" t="s">
        <v>24</v>
      </c>
      <c r="F11" t="s">
        <v>25</v>
      </c>
      <c r="G11" t="s">
        <v>52</v>
      </c>
      <c r="H11" t="s">
        <v>67</v>
      </c>
      <c r="I11" t="s">
        <v>28</v>
      </c>
      <c r="J11" t="s">
        <v>29</v>
      </c>
      <c r="K11" t="s">
        <v>30</v>
      </c>
      <c r="L11" t="s">
        <v>32</v>
      </c>
      <c r="M11" t="s">
        <v>72</v>
      </c>
      <c r="N11" t="s">
        <v>32</v>
      </c>
      <c r="O11" t="s">
        <v>68</v>
      </c>
      <c r="P11" t="s">
        <v>68</v>
      </c>
      <c r="Q11" t="s">
        <v>69</v>
      </c>
      <c r="R11" t="s">
        <v>70</v>
      </c>
      <c r="S11" t="s">
        <v>36</v>
      </c>
      <c r="T11" t="s">
        <v>37</v>
      </c>
      <c r="U11" t="s">
        <v>68</v>
      </c>
      <c r="V11" t="s">
        <v>68</v>
      </c>
    </row>
    <row r="12" spans="1:22" hidden="1" x14ac:dyDescent="0.3">
      <c r="A12">
        <v>41</v>
      </c>
      <c r="B12" t="s">
        <v>73</v>
      </c>
      <c r="C12" t="s">
        <v>73</v>
      </c>
      <c r="D12" t="s">
        <v>51</v>
      </c>
      <c r="E12" t="s">
        <v>24</v>
      </c>
      <c r="F12" t="s">
        <v>25</v>
      </c>
      <c r="G12" t="s">
        <v>52</v>
      </c>
      <c r="H12" t="s">
        <v>28</v>
      </c>
      <c r="I12" t="s">
        <v>28</v>
      </c>
      <c r="J12" t="s">
        <v>29</v>
      </c>
      <c r="K12" t="s">
        <v>30</v>
      </c>
      <c r="L12" t="s">
        <v>32</v>
      </c>
      <c r="M12" t="s">
        <v>73</v>
      </c>
      <c r="N12" t="s">
        <v>32</v>
      </c>
      <c r="O12" t="s">
        <v>68</v>
      </c>
      <c r="P12" t="s">
        <v>68</v>
      </c>
      <c r="Q12" t="s">
        <v>69</v>
      </c>
      <c r="R12" t="s">
        <v>74</v>
      </c>
      <c r="S12" t="s">
        <v>36</v>
      </c>
      <c r="T12" t="s">
        <v>37</v>
      </c>
      <c r="U12" t="s">
        <v>68</v>
      </c>
      <c r="V12" t="s">
        <v>68</v>
      </c>
    </row>
    <row r="13" spans="1:22" hidden="1" x14ac:dyDescent="0.3">
      <c r="A13">
        <v>42</v>
      </c>
      <c r="B13" t="s">
        <v>75</v>
      </c>
      <c r="C13" t="s">
        <v>75</v>
      </c>
      <c r="D13" t="s">
        <v>51</v>
      </c>
      <c r="E13" t="s">
        <v>24</v>
      </c>
      <c r="F13" t="s">
        <v>25</v>
      </c>
      <c r="G13" t="s">
        <v>52</v>
      </c>
      <c r="H13" t="s">
        <v>28</v>
      </c>
      <c r="I13" t="s">
        <v>28</v>
      </c>
      <c r="J13" t="s">
        <v>29</v>
      </c>
      <c r="K13" t="s">
        <v>30</v>
      </c>
      <c r="L13" t="s">
        <v>32</v>
      </c>
      <c r="M13" t="s">
        <v>75</v>
      </c>
      <c r="N13" t="s">
        <v>32</v>
      </c>
      <c r="O13" t="s">
        <v>68</v>
      </c>
      <c r="P13" t="s">
        <v>68</v>
      </c>
      <c r="Q13" t="s">
        <v>69</v>
      </c>
      <c r="R13" t="s">
        <v>74</v>
      </c>
      <c r="S13" t="s">
        <v>36</v>
      </c>
      <c r="T13" t="s">
        <v>37</v>
      </c>
      <c r="U13" t="s">
        <v>68</v>
      </c>
      <c r="V13" t="s">
        <v>68</v>
      </c>
    </row>
    <row r="14" spans="1:22" hidden="1" x14ac:dyDescent="0.3">
      <c r="A14">
        <v>43</v>
      </c>
      <c r="B14" t="s">
        <v>76</v>
      </c>
      <c r="C14" t="s">
        <v>76</v>
      </c>
      <c r="D14" t="s">
        <v>51</v>
      </c>
      <c r="E14" t="s">
        <v>24</v>
      </c>
      <c r="F14" t="s">
        <v>25</v>
      </c>
      <c r="G14" t="s">
        <v>52</v>
      </c>
      <c r="H14" t="s">
        <v>28</v>
      </c>
      <c r="I14" t="s">
        <v>28</v>
      </c>
      <c r="J14" t="s">
        <v>29</v>
      </c>
      <c r="K14" t="s">
        <v>30</v>
      </c>
      <c r="L14" t="s">
        <v>32</v>
      </c>
      <c r="M14" t="s">
        <v>76</v>
      </c>
      <c r="N14" t="s">
        <v>32</v>
      </c>
      <c r="O14" t="s">
        <v>77</v>
      </c>
      <c r="P14" t="s">
        <v>77</v>
      </c>
      <c r="Q14" t="s">
        <v>69</v>
      </c>
      <c r="R14" t="s">
        <v>70</v>
      </c>
      <c r="S14" t="s">
        <v>36</v>
      </c>
      <c r="T14" t="s">
        <v>37</v>
      </c>
      <c r="U14" t="s">
        <v>68</v>
      </c>
      <c r="V14" t="s">
        <v>68</v>
      </c>
    </row>
    <row r="15" spans="1:22" hidden="1" x14ac:dyDescent="0.3">
      <c r="A15">
        <v>44</v>
      </c>
      <c r="B15" t="s">
        <v>78</v>
      </c>
      <c r="C15" t="s">
        <v>78</v>
      </c>
      <c r="D15" t="s">
        <v>51</v>
      </c>
      <c r="E15" t="s">
        <v>24</v>
      </c>
      <c r="F15" t="s">
        <v>25</v>
      </c>
      <c r="G15" t="s">
        <v>52</v>
      </c>
      <c r="H15" t="s">
        <v>28</v>
      </c>
      <c r="I15" t="s">
        <v>28</v>
      </c>
      <c r="J15" t="s">
        <v>29</v>
      </c>
      <c r="K15" t="s">
        <v>30</v>
      </c>
      <c r="L15" t="s">
        <v>32</v>
      </c>
      <c r="M15" t="s">
        <v>78</v>
      </c>
      <c r="N15" t="s">
        <v>32</v>
      </c>
      <c r="O15" t="s">
        <v>79</v>
      </c>
      <c r="P15" t="s">
        <v>79</v>
      </c>
      <c r="Q15" t="s">
        <v>69</v>
      </c>
      <c r="R15" t="s">
        <v>70</v>
      </c>
      <c r="S15" t="s">
        <v>36</v>
      </c>
      <c r="T15" t="s">
        <v>37</v>
      </c>
      <c r="U15" t="s">
        <v>68</v>
      </c>
      <c r="V15" t="s">
        <v>68</v>
      </c>
    </row>
    <row r="16" spans="1:22" hidden="1" x14ac:dyDescent="0.3">
      <c r="A16">
        <v>45</v>
      </c>
      <c r="B16" t="s">
        <v>80</v>
      </c>
      <c r="C16" t="s">
        <v>80</v>
      </c>
      <c r="D16" t="s">
        <v>51</v>
      </c>
      <c r="E16" t="s">
        <v>24</v>
      </c>
      <c r="F16" t="s">
        <v>25</v>
      </c>
      <c r="G16" t="s">
        <v>52</v>
      </c>
      <c r="H16" t="s">
        <v>28</v>
      </c>
      <c r="I16" t="s">
        <v>28</v>
      </c>
      <c r="J16" t="s">
        <v>29</v>
      </c>
      <c r="K16" t="s">
        <v>30</v>
      </c>
      <c r="L16" t="s">
        <v>32</v>
      </c>
      <c r="M16" t="s">
        <v>80</v>
      </c>
      <c r="N16" t="s">
        <v>32</v>
      </c>
      <c r="O16" t="s">
        <v>81</v>
      </c>
      <c r="P16" t="s">
        <v>81</v>
      </c>
      <c r="Q16" t="s">
        <v>69</v>
      </c>
      <c r="R16" t="s">
        <v>70</v>
      </c>
      <c r="S16" t="s">
        <v>36</v>
      </c>
      <c r="T16" t="s">
        <v>37</v>
      </c>
      <c r="U16" t="s">
        <v>68</v>
      </c>
      <c r="V16" t="s">
        <v>68</v>
      </c>
    </row>
    <row r="17" spans="1:22" hidden="1" x14ac:dyDescent="0.3">
      <c r="A17">
        <v>52</v>
      </c>
      <c r="B17" t="s">
        <v>82</v>
      </c>
      <c r="C17" t="s">
        <v>83</v>
      </c>
      <c r="D17" t="s">
        <v>84</v>
      </c>
      <c r="E17" t="s">
        <v>24</v>
      </c>
      <c r="F17" t="s">
        <v>25</v>
      </c>
      <c r="G17" t="s">
        <v>85</v>
      </c>
      <c r="H17" t="s">
        <v>28</v>
      </c>
      <c r="I17" t="s">
        <v>28</v>
      </c>
      <c r="J17" t="s">
        <v>29</v>
      </c>
      <c r="K17" t="s">
        <v>30</v>
      </c>
      <c r="L17" t="s">
        <v>32</v>
      </c>
      <c r="M17" t="s">
        <v>83</v>
      </c>
      <c r="N17" t="s">
        <v>32</v>
      </c>
      <c r="O17" t="s">
        <v>86</v>
      </c>
      <c r="P17" t="s">
        <v>86</v>
      </c>
      <c r="Q17" t="s">
        <v>48</v>
      </c>
      <c r="R17" t="s">
        <v>87</v>
      </c>
      <c r="S17" t="s">
        <v>88</v>
      </c>
      <c r="T17" t="s">
        <v>86</v>
      </c>
      <c r="U17" t="s">
        <v>86</v>
      </c>
      <c r="V17" t="s">
        <v>86</v>
      </c>
    </row>
    <row r="18" spans="1:22" hidden="1" x14ac:dyDescent="0.3">
      <c r="A18">
        <v>53</v>
      </c>
      <c r="B18" t="s">
        <v>89</v>
      </c>
      <c r="C18" t="s">
        <v>90</v>
      </c>
      <c r="D18" t="s">
        <v>84</v>
      </c>
      <c r="E18" t="s">
        <v>24</v>
      </c>
      <c r="F18" t="s">
        <v>25</v>
      </c>
      <c r="G18" t="s">
        <v>85</v>
      </c>
      <c r="H18" t="s">
        <v>28</v>
      </c>
      <c r="I18" t="s">
        <v>28</v>
      </c>
      <c r="J18" t="s">
        <v>29</v>
      </c>
      <c r="K18" t="s">
        <v>30</v>
      </c>
      <c r="L18" t="s">
        <v>32</v>
      </c>
      <c r="M18" t="s">
        <v>90</v>
      </c>
      <c r="N18" t="s">
        <v>32</v>
      </c>
      <c r="O18" t="s">
        <v>86</v>
      </c>
      <c r="P18" t="s">
        <v>86</v>
      </c>
      <c r="Q18" t="s">
        <v>48</v>
      </c>
      <c r="R18" t="s">
        <v>87</v>
      </c>
      <c r="S18" t="s">
        <v>88</v>
      </c>
      <c r="T18" t="s">
        <v>86</v>
      </c>
      <c r="U18" t="s">
        <v>86</v>
      </c>
      <c r="V18" t="s">
        <v>86</v>
      </c>
    </row>
    <row r="19" spans="1:22" hidden="1" x14ac:dyDescent="0.3">
      <c r="A19">
        <v>54</v>
      </c>
      <c r="B19" t="s">
        <v>91</v>
      </c>
      <c r="C19" t="s">
        <v>92</v>
      </c>
      <c r="D19" t="s">
        <v>84</v>
      </c>
      <c r="E19" t="s">
        <v>24</v>
      </c>
      <c r="F19" t="s">
        <v>25</v>
      </c>
      <c r="G19" t="s">
        <v>85</v>
      </c>
      <c r="H19" t="s">
        <v>28</v>
      </c>
      <c r="I19" t="s">
        <v>28</v>
      </c>
      <c r="J19" t="s">
        <v>29</v>
      </c>
      <c r="K19" t="s">
        <v>30</v>
      </c>
      <c r="L19" t="s">
        <v>32</v>
      </c>
      <c r="M19" t="s">
        <v>92</v>
      </c>
      <c r="N19" t="s">
        <v>32</v>
      </c>
      <c r="O19" t="s">
        <v>86</v>
      </c>
      <c r="P19" t="s">
        <v>86</v>
      </c>
      <c r="Q19" t="s">
        <v>48</v>
      </c>
      <c r="R19" t="s">
        <v>87</v>
      </c>
      <c r="S19" t="s">
        <v>88</v>
      </c>
      <c r="T19" t="s">
        <v>86</v>
      </c>
      <c r="U19" t="s">
        <v>86</v>
      </c>
      <c r="V19" t="s">
        <v>86</v>
      </c>
    </row>
    <row r="20" spans="1:22" hidden="1" x14ac:dyDescent="0.3">
      <c r="A20">
        <v>66</v>
      </c>
      <c r="B20" t="s">
        <v>93</v>
      </c>
      <c r="C20" t="s">
        <v>93</v>
      </c>
      <c r="D20" t="s">
        <v>51</v>
      </c>
      <c r="E20" t="s">
        <v>24</v>
      </c>
      <c r="F20" t="s">
        <v>25</v>
      </c>
      <c r="G20" t="s">
        <v>52</v>
      </c>
      <c r="H20" t="s">
        <v>28</v>
      </c>
      <c r="I20" t="s">
        <v>28</v>
      </c>
      <c r="J20" t="s">
        <v>29</v>
      </c>
      <c r="K20" t="s">
        <v>30</v>
      </c>
      <c r="L20" t="s">
        <v>32</v>
      </c>
      <c r="M20" t="s">
        <v>93</v>
      </c>
      <c r="N20" t="s">
        <v>32</v>
      </c>
      <c r="O20" t="s">
        <v>94</v>
      </c>
      <c r="P20" t="s">
        <v>94</v>
      </c>
      <c r="Q20" t="s">
        <v>48</v>
      </c>
      <c r="R20" t="s">
        <v>95</v>
      </c>
      <c r="S20" t="s">
        <v>96</v>
      </c>
      <c r="T20" t="s">
        <v>94</v>
      </c>
      <c r="U20" t="s">
        <v>94</v>
      </c>
      <c r="V20" t="s">
        <v>94</v>
      </c>
    </row>
    <row r="21" spans="1:22" hidden="1" x14ac:dyDescent="0.3">
      <c r="A21">
        <v>67</v>
      </c>
      <c r="B21" t="s">
        <v>97</v>
      </c>
      <c r="C21" t="s">
        <v>98</v>
      </c>
      <c r="D21" t="s">
        <v>59</v>
      </c>
      <c r="E21" t="s">
        <v>24</v>
      </c>
      <c r="F21" t="s">
        <v>25</v>
      </c>
      <c r="G21" t="s">
        <v>99</v>
      </c>
      <c r="H21" t="s">
        <v>67</v>
      </c>
      <c r="I21" t="s">
        <v>28</v>
      </c>
      <c r="J21" t="s">
        <v>29</v>
      </c>
      <c r="K21" t="s">
        <v>30</v>
      </c>
      <c r="L21" t="s">
        <v>32</v>
      </c>
      <c r="M21" t="s">
        <v>98</v>
      </c>
      <c r="N21" t="s">
        <v>32</v>
      </c>
      <c r="O21" t="s">
        <v>94</v>
      </c>
      <c r="P21" t="s">
        <v>94</v>
      </c>
      <c r="Q21" t="s">
        <v>100</v>
      </c>
      <c r="R21" t="s">
        <v>101</v>
      </c>
      <c r="S21" t="s">
        <v>96</v>
      </c>
      <c r="T21" t="s">
        <v>94</v>
      </c>
      <c r="U21" t="s">
        <v>94</v>
      </c>
      <c r="V21" t="s">
        <v>94</v>
      </c>
    </row>
    <row r="22" spans="1:22" hidden="1" x14ac:dyDescent="0.3">
      <c r="A22">
        <v>68</v>
      </c>
      <c r="B22" t="s">
        <v>102</v>
      </c>
      <c r="C22" t="s">
        <v>103</v>
      </c>
      <c r="D22" t="s">
        <v>59</v>
      </c>
      <c r="E22" t="s">
        <v>24</v>
      </c>
      <c r="F22" t="s">
        <v>25</v>
      </c>
      <c r="G22" t="s">
        <v>99</v>
      </c>
      <c r="H22" t="s">
        <v>67</v>
      </c>
      <c r="I22" t="s">
        <v>28</v>
      </c>
      <c r="J22" t="s">
        <v>29</v>
      </c>
      <c r="K22" t="s">
        <v>30</v>
      </c>
      <c r="L22" t="s">
        <v>32</v>
      </c>
      <c r="M22" t="s">
        <v>103</v>
      </c>
      <c r="N22" t="s">
        <v>32</v>
      </c>
      <c r="O22" t="s">
        <v>94</v>
      </c>
      <c r="P22" t="s">
        <v>94</v>
      </c>
      <c r="Q22" t="s">
        <v>100</v>
      </c>
      <c r="R22" t="s">
        <v>101</v>
      </c>
      <c r="S22" t="s">
        <v>96</v>
      </c>
      <c r="T22" t="s">
        <v>94</v>
      </c>
      <c r="U22" t="s">
        <v>94</v>
      </c>
      <c r="V22" t="s">
        <v>94</v>
      </c>
    </row>
    <row r="23" spans="1:22" hidden="1" x14ac:dyDescent="0.3">
      <c r="A23">
        <v>69</v>
      </c>
      <c r="B23" t="s">
        <v>104</v>
      </c>
      <c r="C23" t="s">
        <v>105</v>
      </c>
      <c r="D23" t="s">
        <v>59</v>
      </c>
      <c r="E23" t="s">
        <v>24</v>
      </c>
      <c r="F23" t="s">
        <v>25</v>
      </c>
      <c r="G23" t="s">
        <v>99</v>
      </c>
      <c r="H23" t="s">
        <v>67</v>
      </c>
      <c r="I23" t="s">
        <v>28</v>
      </c>
      <c r="J23" t="s">
        <v>29</v>
      </c>
      <c r="K23" t="s">
        <v>30</v>
      </c>
      <c r="L23" t="s">
        <v>32</v>
      </c>
      <c r="M23" t="s">
        <v>105</v>
      </c>
      <c r="N23" t="s">
        <v>32</v>
      </c>
      <c r="O23" t="s">
        <v>94</v>
      </c>
      <c r="P23" t="s">
        <v>94</v>
      </c>
      <c r="Q23" t="s">
        <v>100</v>
      </c>
      <c r="R23" t="s">
        <v>101</v>
      </c>
      <c r="S23" t="s">
        <v>96</v>
      </c>
      <c r="T23" t="s">
        <v>94</v>
      </c>
      <c r="U23" t="s">
        <v>94</v>
      </c>
      <c r="V23" t="s">
        <v>94</v>
      </c>
    </row>
    <row r="24" spans="1:22" hidden="1" x14ac:dyDescent="0.3">
      <c r="A24">
        <v>70</v>
      </c>
      <c r="B24" t="s">
        <v>106</v>
      </c>
      <c r="C24" t="s">
        <v>107</v>
      </c>
      <c r="D24" t="s">
        <v>59</v>
      </c>
      <c r="E24" t="s">
        <v>24</v>
      </c>
      <c r="F24" t="s">
        <v>25</v>
      </c>
      <c r="G24" t="s">
        <v>99</v>
      </c>
      <c r="H24" t="s">
        <v>67</v>
      </c>
      <c r="I24" t="s">
        <v>28</v>
      </c>
      <c r="J24" t="s">
        <v>29</v>
      </c>
      <c r="K24" t="s">
        <v>30</v>
      </c>
      <c r="L24" t="s">
        <v>32</v>
      </c>
      <c r="M24" t="s">
        <v>107</v>
      </c>
      <c r="N24" t="s">
        <v>32</v>
      </c>
      <c r="O24" t="s">
        <v>94</v>
      </c>
      <c r="P24" t="s">
        <v>94</v>
      </c>
      <c r="Q24" t="s">
        <v>100</v>
      </c>
      <c r="R24" t="s">
        <v>101</v>
      </c>
      <c r="S24" t="s">
        <v>96</v>
      </c>
      <c r="T24" t="s">
        <v>94</v>
      </c>
      <c r="U24" t="s">
        <v>94</v>
      </c>
      <c r="V24" t="s">
        <v>94</v>
      </c>
    </row>
    <row r="25" spans="1:22" hidden="1" x14ac:dyDescent="0.3">
      <c r="A25">
        <v>71</v>
      </c>
      <c r="B25" t="s">
        <v>108</v>
      </c>
      <c r="C25" t="s">
        <v>109</v>
      </c>
      <c r="D25" t="s">
        <v>110</v>
      </c>
      <c r="E25" t="s">
        <v>110</v>
      </c>
      <c r="F25" t="s">
        <v>110</v>
      </c>
      <c r="G25" t="s">
        <v>99</v>
      </c>
      <c r="H25" t="s">
        <v>28</v>
      </c>
      <c r="I25" t="s">
        <v>28</v>
      </c>
      <c r="J25" t="s">
        <v>29</v>
      </c>
      <c r="K25" t="s">
        <v>30</v>
      </c>
      <c r="L25" t="s">
        <v>32</v>
      </c>
      <c r="M25" t="s">
        <v>109</v>
      </c>
      <c r="N25" t="s">
        <v>32</v>
      </c>
      <c r="O25" t="s">
        <v>94</v>
      </c>
      <c r="P25" t="s">
        <v>94</v>
      </c>
      <c r="Q25" t="s">
        <v>111</v>
      </c>
      <c r="R25" t="s">
        <v>112</v>
      </c>
      <c r="S25" t="s">
        <v>96</v>
      </c>
      <c r="T25" t="s">
        <v>94</v>
      </c>
      <c r="U25" t="s">
        <v>94</v>
      </c>
      <c r="V25" t="s">
        <v>94</v>
      </c>
    </row>
    <row r="26" spans="1:22" hidden="1" x14ac:dyDescent="0.3">
      <c r="A26">
        <v>72</v>
      </c>
      <c r="B26" t="s">
        <v>113</v>
      </c>
      <c r="C26" t="s">
        <v>114</v>
      </c>
      <c r="D26" t="s">
        <v>59</v>
      </c>
      <c r="E26" t="s">
        <v>24</v>
      </c>
      <c r="F26" t="s">
        <v>25</v>
      </c>
      <c r="G26" t="s">
        <v>99</v>
      </c>
      <c r="H26" t="s">
        <v>27</v>
      </c>
      <c r="I26" t="s">
        <v>28</v>
      </c>
      <c r="J26" t="s">
        <v>29</v>
      </c>
      <c r="K26" t="s">
        <v>30</v>
      </c>
      <c r="L26" t="s">
        <v>32</v>
      </c>
      <c r="M26" t="s">
        <v>114</v>
      </c>
      <c r="N26" t="s">
        <v>32</v>
      </c>
      <c r="O26" t="s">
        <v>94</v>
      </c>
      <c r="P26" t="s">
        <v>94</v>
      </c>
      <c r="Q26" t="s">
        <v>100</v>
      </c>
      <c r="R26" t="s">
        <v>101</v>
      </c>
      <c r="S26" t="s">
        <v>96</v>
      </c>
      <c r="T26" t="s">
        <v>94</v>
      </c>
      <c r="U26" t="s">
        <v>94</v>
      </c>
      <c r="V26" t="s">
        <v>94</v>
      </c>
    </row>
    <row r="27" spans="1:22" hidden="1" x14ac:dyDescent="0.3">
      <c r="A27">
        <v>73</v>
      </c>
      <c r="B27" t="s">
        <v>115</v>
      </c>
      <c r="C27" t="s">
        <v>116</v>
      </c>
      <c r="D27" t="s">
        <v>59</v>
      </c>
      <c r="E27" t="s">
        <v>24</v>
      </c>
      <c r="F27" t="s">
        <v>25</v>
      </c>
      <c r="G27" t="s">
        <v>99</v>
      </c>
      <c r="H27" t="s">
        <v>28</v>
      </c>
      <c r="I27" t="s">
        <v>28</v>
      </c>
      <c r="J27" t="s">
        <v>29</v>
      </c>
      <c r="K27" t="s">
        <v>30</v>
      </c>
      <c r="L27" t="s">
        <v>32</v>
      </c>
      <c r="M27" t="s">
        <v>116</v>
      </c>
      <c r="N27" t="s">
        <v>32</v>
      </c>
      <c r="O27" t="s">
        <v>94</v>
      </c>
      <c r="P27" t="s">
        <v>94</v>
      </c>
      <c r="Q27" t="s">
        <v>100</v>
      </c>
      <c r="R27" t="s">
        <v>117</v>
      </c>
      <c r="S27" t="s">
        <v>96</v>
      </c>
      <c r="T27" t="s">
        <v>94</v>
      </c>
      <c r="U27" t="s">
        <v>94</v>
      </c>
      <c r="V27" t="s">
        <v>94</v>
      </c>
    </row>
    <row r="28" spans="1:22" hidden="1" x14ac:dyDescent="0.3">
      <c r="A28">
        <v>74</v>
      </c>
      <c r="B28" t="s">
        <v>118</v>
      </c>
      <c r="C28" t="s">
        <v>119</v>
      </c>
      <c r="D28" t="s">
        <v>59</v>
      </c>
      <c r="E28" t="s">
        <v>24</v>
      </c>
      <c r="F28" t="s">
        <v>25</v>
      </c>
      <c r="G28" t="s">
        <v>99</v>
      </c>
      <c r="H28" t="s">
        <v>28</v>
      </c>
      <c r="I28" t="s">
        <v>28</v>
      </c>
      <c r="J28" t="s">
        <v>29</v>
      </c>
      <c r="K28" t="s">
        <v>30</v>
      </c>
      <c r="L28" t="s">
        <v>32</v>
      </c>
      <c r="M28" t="s">
        <v>119</v>
      </c>
      <c r="N28" t="s">
        <v>32</v>
      </c>
      <c r="O28" t="s">
        <v>94</v>
      </c>
      <c r="P28" t="s">
        <v>94</v>
      </c>
      <c r="Q28" t="s">
        <v>100</v>
      </c>
      <c r="R28" t="s">
        <v>117</v>
      </c>
      <c r="S28" t="s">
        <v>96</v>
      </c>
      <c r="T28" t="s">
        <v>94</v>
      </c>
      <c r="U28" t="s">
        <v>94</v>
      </c>
      <c r="V28" t="s">
        <v>94</v>
      </c>
    </row>
    <row r="29" spans="1:22" hidden="1" x14ac:dyDescent="0.3">
      <c r="A29">
        <v>75</v>
      </c>
      <c r="B29" t="s">
        <v>120</v>
      </c>
      <c r="C29" t="s">
        <v>121</v>
      </c>
      <c r="D29" t="s">
        <v>59</v>
      </c>
      <c r="E29" t="s">
        <v>24</v>
      </c>
      <c r="F29" t="s">
        <v>25</v>
      </c>
      <c r="G29" t="s">
        <v>99</v>
      </c>
      <c r="H29" t="s">
        <v>28</v>
      </c>
      <c r="I29" t="s">
        <v>28</v>
      </c>
      <c r="J29" t="s">
        <v>29</v>
      </c>
      <c r="K29" t="s">
        <v>30</v>
      </c>
      <c r="L29" t="s">
        <v>32</v>
      </c>
      <c r="M29" t="s">
        <v>121</v>
      </c>
      <c r="N29" t="s">
        <v>32</v>
      </c>
      <c r="O29" t="s">
        <v>94</v>
      </c>
      <c r="P29" t="s">
        <v>94</v>
      </c>
      <c r="Q29" t="s">
        <v>100</v>
      </c>
      <c r="R29" t="s">
        <v>117</v>
      </c>
      <c r="S29" t="s">
        <v>96</v>
      </c>
      <c r="T29" t="s">
        <v>94</v>
      </c>
      <c r="U29" t="s">
        <v>94</v>
      </c>
      <c r="V29" t="s">
        <v>94</v>
      </c>
    </row>
    <row r="30" spans="1:22" hidden="1" x14ac:dyDescent="0.3">
      <c r="A30">
        <v>76</v>
      </c>
      <c r="B30" t="s">
        <v>122</v>
      </c>
      <c r="C30" t="s">
        <v>122</v>
      </c>
      <c r="D30" t="s">
        <v>123</v>
      </c>
      <c r="E30" t="s">
        <v>24</v>
      </c>
      <c r="F30" t="s">
        <v>25</v>
      </c>
      <c r="G30" t="s">
        <v>99</v>
      </c>
      <c r="H30" t="s">
        <v>28</v>
      </c>
      <c r="I30" t="s">
        <v>28</v>
      </c>
      <c r="J30" t="s">
        <v>29</v>
      </c>
      <c r="K30" t="s">
        <v>30</v>
      </c>
      <c r="L30" t="s">
        <v>32</v>
      </c>
      <c r="M30" t="s">
        <v>122</v>
      </c>
      <c r="N30" t="s">
        <v>32</v>
      </c>
      <c r="O30" t="s">
        <v>124</v>
      </c>
      <c r="P30" t="s">
        <v>124</v>
      </c>
      <c r="Q30" t="s">
        <v>125</v>
      </c>
      <c r="R30" t="s">
        <v>126</v>
      </c>
      <c r="S30" t="s">
        <v>96</v>
      </c>
      <c r="T30" t="s">
        <v>94</v>
      </c>
      <c r="U30" t="s">
        <v>94</v>
      </c>
      <c r="V30" t="s">
        <v>94</v>
      </c>
    </row>
    <row r="31" spans="1:22" hidden="1" x14ac:dyDescent="0.3">
      <c r="A31">
        <v>83</v>
      </c>
      <c r="B31" t="s">
        <v>127</v>
      </c>
      <c r="C31" t="s">
        <v>128</v>
      </c>
      <c r="D31" t="s">
        <v>84</v>
      </c>
      <c r="E31" t="s">
        <v>24</v>
      </c>
      <c r="F31" t="s">
        <v>25</v>
      </c>
      <c r="G31" t="s">
        <v>129</v>
      </c>
      <c r="H31" t="s">
        <v>28</v>
      </c>
      <c r="I31" t="s">
        <v>28</v>
      </c>
      <c r="J31" t="s">
        <v>29</v>
      </c>
      <c r="K31" t="s">
        <v>30</v>
      </c>
      <c r="L31" t="s">
        <v>32</v>
      </c>
      <c r="M31" t="s">
        <v>128</v>
      </c>
      <c r="N31" t="s">
        <v>32</v>
      </c>
      <c r="O31" t="s">
        <v>130</v>
      </c>
      <c r="P31" t="s">
        <v>130</v>
      </c>
      <c r="Q31" t="s">
        <v>131</v>
      </c>
      <c r="R31" t="s">
        <v>132</v>
      </c>
      <c r="S31" t="s">
        <v>133</v>
      </c>
      <c r="T31" t="s">
        <v>130</v>
      </c>
      <c r="U31" t="s">
        <v>130</v>
      </c>
      <c r="V31" t="s">
        <v>130</v>
      </c>
    </row>
    <row r="32" spans="1:22" hidden="1" x14ac:dyDescent="0.3">
      <c r="A32">
        <v>84</v>
      </c>
      <c r="B32" t="s">
        <v>134</v>
      </c>
      <c r="C32" t="s">
        <v>135</v>
      </c>
      <c r="D32" t="s">
        <v>84</v>
      </c>
      <c r="E32" t="s">
        <v>24</v>
      </c>
      <c r="F32" t="s">
        <v>25</v>
      </c>
      <c r="G32" t="s">
        <v>85</v>
      </c>
      <c r="H32" t="s">
        <v>28</v>
      </c>
      <c r="I32" t="s">
        <v>28</v>
      </c>
      <c r="J32" t="s">
        <v>29</v>
      </c>
      <c r="K32" t="s">
        <v>30</v>
      </c>
      <c r="L32" t="s">
        <v>32</v>
      </c>
      <c r="M32" t="s">
        <v>135</v>
      </c>
      <c r="N32" t="s">
        <v>32</v>
      </c>
      <c r="O32" t="s">
        <v>136</v>
      </c>
      <c r="P32" t="s">
        <v>136</v>
      </c>
      <c r="Q32" t="s">
        <v>48</v>
      </c>
      <c r="R32" t="s">
        <v>87</v>
      </c>
      <c r="S32" t="s">
        <v>133</v>
      </c>
      <c r="T32" t="s">
        <v>130</v>
      </c>
      <c r="U32" t="s">
        <v>130</v>
      </c>
      <c r="V32" t="s">
        <v>130</v>
      </c>
    </row>
    <row r="33" spans="1:22" hidden="1" x14ac:dyDescent="0.3">
      <c r="A33">
        <v>85</v>
      </c>
      <c r="B33" t="s">
        <v>137</v>
      </c>
      <c r="C33" t="s">
        <v>138</v>
      </c>
      <c r="D33" t="s">
        <v>84</v>
      </c>
      <c r="E33" t="s">
        <v>24</v>
      </c>
      <c r="F33" t="s">
        <v>25</v>
      </c>
      <c r="G33" t="s">
        <v>99</v>
      </c>
      <c r="H33" t="s">
        <v>28</v>
      </c>
      <c r="I33" t="s">
        <v>28</v>
      </c>
      <c r="J33" t="s">
        <v>29</v>
      </c>
      <c r="K33" t="s">
        <v>30</v>
      </c>
      <c r="L33" t="s">
        <v>32</v>
      </c>
      <c r="M33" t="s">
        <v>138</v>
      </c>
      <c r="N33" t="s">
        <v>32</v>
      </c>
      <c r="O33" t="s">
        <v>139</v>
      </c>
      <c r="P33" t="s">
        <v>139</v>
      </c>
      <c r="Q33" t="s">
        <v>48</v>
      </c>
      <c r="R33" t="s">
        <v>87</v>
      </c>
      <c r="S33" t="s">
        <v>133</v>
      </c>
      <c r="T33" t="s">
        <v>130</v>
      </c>
      <c r="U33" t="s">
        <v>130</v>
      </c>
      <c r="V33" t="s">
        <v>130</v>
      </c>
    </row>
    <row r="34" spans="1:22" hidden="1" x14ac:dyDescent="0.3">
      <c r="A34">
        <v>86</v>
      </c>
      <c r="B34" t="s">
        <v>140</v>
      </c>
      <c r="C34" t="s">
        <v>141</v>
      </c>
      <c r="D34" t="s">
        <v>84</v>
      </c>
      <c r="E34" t="s">
        <v>24</v>
      </c>
      <c r="F34" t="s">
        <v>25</v>
      </c>
      <c r="G34" t="s">
        <v>99</v>
      </c>
      <c r="H34" t="s">
        <v>28</v>
      </c>
      <c r="I34" t="s">
        <v>28</v>
      </c>
      <c r="J34" t="s">
        <v>29</v>
      </c>
      <c r="K34" t="s">
        <v>30</v>
      </c>
      <c r="L34" t="s">
        <v>32</v>
      </c>
      <c r="M34" t="s">
        <v>141</v>
      </c>
      <c r="N34" t="s">
        <v>32</v>
      </c>
      <c r="O34" t="s">
        <v>142</v>
      </c>
      <c r="P34" t="s">
        <v>142</v>
      </c>
      <c r="Q34" t="s">
        <v>48</v>
      </c>
      <c r="R34" t="s">
        <v>87</v>
      </c>
      <c r="S34" t="s">
        <v>133</v>
      </c>
      <c r="T34" t="s">
        <v>130</v>
      </c>
      <c r="U34" t="s">
        <v>130</v>
      </c>
      <c r="V34" t="s">
        <v>130</v>
      </c>
    </row>
    <row r="35" spans="1:22" hidden="1" x14ac:dyDescent="0.3">
      <c r="A35">
        <v>89</v>
      </c>
      <c r="B35" t="s">
        <v>143</v>
      </c>
      <c r="C35" t="s">
        <v>144</v>
      </c>
      <c r="D35" t="s">
        <v>110</v>
      </c>
      <c r="E35" t="s">
        <v>110</v>
      </c>
      <c r="F35" t="s">
        <v>110</v>
      </c>
      <c r="G35" t="s">
        <v>99</v>
      </c>
      <c r="H35" t="s">
        <v>28</v>
      </c>
      <c r="I35" t="s">
        <v>28</v>
      </c>
      <c r="J35" t="s">
        <v>29</v>
      </c>
      <c r="K35" t="s">
        <v>30</v>
      </c>
      <c r="L35" t="s">
        <v>32</v>
      </c>
      <c r="M35" t="s">
        <v>144</v>
      </c>
      <c r="N35" t="s">
        <v>32</v>
      </c>
      <c r="O35" t="s">
        <v>145</v>
      </c>
      <c r="P35" t="s">
        <v>145</v>
      </c>
      <c r="Q35" t="s">
        <v>111</v>
      </c>
      <c r="R35" t="s">
        <v>146</v>
      </c>
      <c r="S35" t="s">
        <v>147</v>
      </c>
      <c r="T35" t="s">
        <v>145</v>
      </c>
      <c r="U35" t="s">
        <v>145</v>
      </c>
      <c r="V35" t="s">
        <v>145</v>
      </c>
    </row>
    <row r="36" spans="1:22" hidden="1" x14ac:dyDescent="0.3">
      <c r="A36">
        <v>90</v>
      </c>
      <c r="B36" t="s">
        <v>148</v>
      </c>
      <c r="C36" t="s">
        <v>149</v>
      </c>
      <c r="D36" t="s">
        <v>110</v>
      </c>
      <c r="E36" t="s">
        <v>110</v>
      </c>
      <c r="F36" t="s">
        <v>110</v>
      </c>
      <c r="G36" t="s">
        <v>99</v>
      </c>
      <c r="H36" t="s">
        <v>28</v>
      </c>
      <c r="I36" t="s">
        <v>28</v>
      </c>
      <c r="J36" t="s">
        <v>29</v>
      </c>
      <c r="K36" t="s">
        <v>30</v>
      </c>
      <c r="L36" t="s">
        <v>32</v>
      </c>
      <c r="M36" t="s">
        <v>149</v>
      </c>
      <c r="N36" t="s">
        <v>32</v>
      </c>
      <c r="O36" t="s">
        <v>145</v>
      </c>
      <c r="P36" t="s">
        <v>145</v>
      </c>
      <c r="Q36" t="s">
        <v>111</v>
      </c>
      <c r="R36" t="s">
        <v>146</v>
      </c>
      <c r="S36" t="s">
        <v>147</v>
      </c>
      <c r="T36" t="s">
        <v>145</v>
      </c>
      <c r="U36" t="s">
        <v>145</v>
      </c>
      <c r="V36" t="s">
        <v>145</v>
      </c>
    </row>
    <row r="37" spans="1:22" hidden="1" x14ac:dyDescent="0.3">
      <c r="A37">
        <v>91</v>
      </c>
      <c r="B37" t="s">
        <v>150</v>
      </c>
      <c r="C37" t="s">
        <v>151</v>
      </c>
      <c r="D37" t="s">
        <v>84</v>
      </c>
      <c r="E37" t="s">
        <v>24</v>
      </c>
      <c r="F37" t="s">
        <v>25</v>
      </c>
      <c r="G37" t="s">
        <v>99</v>
      </c>
      <c r="H37" t="s">
        <v>28</v>
      </c>
      <c r="I37" t="s">
        <v>28</v>
      </c>
      <c r="J37" t="s">
        <v>29</v>
      </c>
      <c r="K37" t="s">
        <v>30</v>
      </c>
      <c r="L37" t="s">
        <v>32</v>
      </c>
      <c r="M37" t="s">
        <v>151</v>
      </c>
      <c r="N37" t="s">
        <v>32</v>
      </c>
      <c r="O37" t="s">
        <v>145</v>
      </c>
      <c r="P37" t="s">
        <v>145</v>
      </c>
      <c r="Q37" t="s">
        <v>131</v>
      </c>
      <c r="R37" t="s">
        <v>132</v>
      </c>
      <c r="S37" t="s">
        <v>147</v>
      </c>
      <c r="T37" t="s">
        <v>145</v>
      </c>
      <c r="U37" t="s">
        <v>145</v>
      </c>
      <c r="V37" t="s">
        <v>145</v>
      </c>
    </row>
    <row r="38" spans="1:22" hidden="1" x14ac:dyDescent="0.3">
      <c r="A38">
        <v>92</v>
      </c>
      <c r="B38" t="s">
        <v>152</v>
      </c>
      <c r="C38" t="s">
        <v>153</v>
      </c>
      <c r="D38" t="s">
        <v>59</v>
      </c>
      <c r="E38" t="s">
        <v>24</v>
      </c>
      <c r="F38" t="s">
        <v>25</v>
      </c>
      <c r="G38" t="s">
        <v>99</v>
      </c>
      <c r="H38" t="s">
        <v>28</v>
      </c>
      <c r="I38" t="s">
        <v>28</v>
      </c>
      <c r="J38" t="s">
        <v>29</v>
      </c>
      <c r="K38" t="s">
        <v>30</v>
      </c>
      <c r="L38" t="s">
        <v>32</v>
      </c>
      <c r="M38" t="s">
        <v>153</v>
      </c>
      <c r="N38" t="s">
        <v>32</v>
      </c>
      <c r="O38" t="s">
        <v>145</v>
      </c>
      <c r="P38" t="s">
        <v>145</v>
      </c>
      <c r="Q38" t="s">
        <v>48</v>
      </c>
      <c r="R38" t="s">
        <v>87</v>
      </c>
      <c r="S38" t="s">
        <v>147</v>
      </c>
      <c r="T38" t="s">
        <v>145</v>
      </c>
      <c r="U38" t="s">
        <v>145</v>
      </c>
      <c r="V38" t="s">
        <v>145</v>
      </c>
    </row>
    <row r="39" spans="1:22" hidden="1" x14ac:dyDescent="0.3">
      <c r="A39">
        <v>93</v>
      </c>
      <c r="B39" t="s">
        <v>154</v>
      </c>
      <c r="C39" t="s">
        <v>155</v>
      </c>
      <c r="D39" t="s">
        <v>84</v>
      </c>
      <c r="E39" t="s">
        <v>24</v>
      </c>
      <c r="F39" t="s">
        <v>25</v>
      </c>
      <c r="G39" t="s">
        <v>99</v>
      </c>
      <c r="H39" t="s">
        <v>28</v>
      </c>
      <c r="I39" t="s">
        <v>28</v>
      </c>
      <c r="J39" t="s">
        <v>29</v>
      </c>
      <c r="K39" t="s">
        <v>30</v>
      </c>
      <c r="L39" t="s">
        <v>32</v>
      </c>
      <c r="M39" t="s">
        <v>155</v>
      </c>
      <c r="N39" t="s">
        <v>32</v>
      </c>
      <c r="O39" t="s">
        <v>156</v>
      </c>
      <c r="P39" t="s">
        <v>156</v>
      </c>
      <c r="Q39" t="s">
        <v>131</v>
      </c>
      <c r="R39" t="s">
        <v>132</v>
      </c>
      <c r="S39" t="s">
        <v>147</v>
      </c>
      <c r="T39" t="s">
        <v>145</v>
      </c>
      <c r="U39" t="s">
        <v>145</v>
      </c>
      <c r="V39" t="s">
        <v>145</v>
      </c>
    </row>
    <row r="40" spans="1:22" hidden="1" x14ac:dyDescent="0.3">
      <c r="A40">
        <v>94</v>
      </c>
      <c r="B40" t="s">
        <v>157</v>
      </c>
      <c r="C40" t="s">
        <v>158</v>
      </c>
      <c r="D40" t="s">
        <v>84</v>
      </c>
      <c r="E40" t="s">
        <v>24</v>
      </c>
      <c r="F40" t="s">
        <v>25</v>
      </c>
      <c r="G40" t="s">
        <v>99</v>
      </c>
      <c r="H40" t="s">
        <v>28</v>
      </c>
      <c r="I40" t="s">
        <v>28</v>
      </c>
      <c r="J40" t="s">
        <v>29</v>
      </c>
      <c r="K40" t="s">
        <v>30</v>
      </c>
      <c r="L40" t="s">
        <v>32</v>
      </c>
      <c r="M40" t="s">
        <v>158</v>
      </c>
      <c r="N40" t="s">
        <v>32</v>
      </c>
      <c r="O40" t="s">
        <v>159</v>
      </c>
      <c r="P40" t="s">
        <v>159</v>
      </c>
      <c r="Q40" t="s">
        <v>131</v>
      </c>
      <c r="R40" t="s">
        <v>132</v>
      </c>
      <c r="S40" t="s">
        <v>147</v>
      </c>
      <c r="T40" t="s">
        <v>145</v>
      </c>
      <c r="U40" t="s">
        <v>145</v>
      </c>
      <c r="V40" t="s">
        <v>145</v>
      </c>
    </row>
    <row r="41" spans="1:22" hidden="1" x14ac:dyDescent="0.3">
      <c r="A41">
        <v>95</v>
      </c>
      <c r="B41" t="s">
        <v>160</v>
      </c>
      <c r="C41" t="s">
        <v>161</v>
      </c>
      <c r="D41" t="s">
        <v>59</v>
      </c>
      <c r="E41" t="s">
        <v>24</v>
      </c>
      <c r="F41" t="s">
        <v>25</v>
      </c>
      <c r="G41" t="s">
        <v>99</v>
      </c>
      <c r="H41" t="s">
        <v>28</v>
      </c>
      <c r="I41" t="s">
        <v>28</v>
      </c>
      <c r="J41" t="s">
        <v>29</v>
      </c>
      <c r="K41" t="s">
        <v>30</v>
      </c>
      <c r="L41" t="s">
        <v>32</v>
      </c>
      <c r="M41" t="s">
        <v>161</v>
      </c>
      <c r="N41" t="s">
        <v>32</v>
      </c>
      <c r="O41" t="s">
        <v>162</v>
      </c>
      <c r="P41" t="s">
        <v>162</v>
      </c>
      <c r="Q41" t="s">
        <v>48</v>
      </c>
      <c r="R41" t="s">
        <v>87</v>
      </c>
      <c r="S41" t="s">
        <v>147</v>
      </c>
      <c r="T41" t="s">
        <v>145</v>
      </c>
      <c r="U41" t="s">
        <v>145</v>
      </c>
      <c r="V41" t="s">
        <v>145</v>
      </c>
    </row>
    <row r="42" spans="1:22" hidden="1" x14ac:dyDescent="0.3">
      <c r="A42">
        <v>99</v>
      </c>
      <c r="B42" t="s">
        <v>163</v>
      </c>
      <c r="C42" t="s">
        <v>163</v>
      </c>
      <c r="D42" t="s">
        <v>123</v>
      </c>
      <c r="E42" t="s">
        <v>24</v>
      </c>
      <c r="F42" t="s">
        <v>25</v>
      </c>
      <c r="G42" t="s">
        <v>99</v>
      </c>
      <c r="H42" t="s">
        <v>46</v>
      </c>
      <c r="I42" t="s">
        <v>28</v>
      </c>
      <c r="J42" t="s">
        <v>29</v>
      </c>
      <c r="K42" t="s">
        <v>164</v>
      </c>
      <c r="L42" t="s">
        <v>32</v>
      </c>
      <c r="M42" t="s">
        <v>163</v>
      </c>
      <c r="N42" t="s">
        <v>32</v>
      </c>
      <c r="O42" t="s">
        <v>165</v>
      </c>
      <c r="P42" t="s">
        <v>165</v>
      </c>
      <c r="Q42" t="s">
        <v>48</v>
      </c>
      <c r="R42" t="s">
        <v>166</v>
      </c>
      <c r="S42" t="s">
        <v>167</v>
      </c>
      <c r="T42" t="s">
        <v>165</v>
      </c>
      <c r="U42" t="s">
        <v>165</v>
      </c>
      <c r="V42" t="s">
        <v>165</v>
      </c>
    </row>
    <row r="43" spans="1:22" hidden="1" x14ac:dyDescent="0.3">
      <c r="A43">
        <v>100</v>
      </c>
      <c r="B43" t="s">
        <v>168</v>
      </c>
      <c r="C43" t="s">
        <v>169</v>
      </c>
      <c r="D43" t="s">
        <v>123</v>
      </c>
      <c r="E43" t="s">
        <v>24</v>
      </c>
      <c r="F43" t="s">
        <v>25</v>
      </c>
      <c r="G43" t="s">
        <v>99</v>
      </c>
      <c r="H43" t="s">
        <v>28</v>
      </c>
      <c r="I43" t="s">
        <v>28</v>
      </c>
      <c r="J43" t="s">
        <v>29</v>
      </c>
      <c r="K43" t="s">
        <v>164</v>
      </c>
      <c r="L43" t="s">
        <v>32</v>
      </c>
      <c r="M43" t="s">
        <v>169</v>
      </c>
      <c r="N43" t="s">
        <v>32</v>
      </c>
      <c r="O43" t="s">
        <v>165</v>
      </c>
      <c r="P43" t="s">
        <v>165</v>
      </c>
      <c r="Q43" t="s">
        <v>48</v>
      </c>
      <c r="R43" t="s">
        <v>170</v>
      </c>
      <c r="S43" t="s">
        <v>167</v>
      </c>
      <c r="T43" t="s">
        <v>165</v>
      </c>
      <c r="U43" t="s">
        <v>165</v>
      </c>
      <c r="V43" t="s">
        <v>165</v>
      </c>
    </row>
    <row r="44" spans="1:22" hidden="1" x14ac:dyDescent="0.3">
      <c r="A44">
        <v>101</v>
      </c>
      <c r="B44" t="s">
        <v>171</v>
      </c>
      <c r="C44" t="s">
        <v>171</v>
      </c>
      <c r="D44" t="s">
        <v>123</v>
      </c>
      <c r="E44" t="s">
        <v>24</v>
      </c>
      <c r="F44" t="s">
        <v>25</v>
      </c>
      <c r="G44" t="s">
        <v>99</v>
      </c>
      <c r="H44" t="s">
        <v>28</v>
      </c>
      <c r="I44" t="s">
        <v>28</v>
      </c>
      <c r="J44" t="s">
        <v>29</v>
      </c>
      <c r="K44" t="s">
        <v>164</v>
      </c>
      <c r="L44" t="s">
        <v>32</v>
      </c>
      <c r="M44" t="s">
        <v>171</v>
      </c>
      <c r="N44" t="s">
        <v>32</v>
      </c>
      <c r="O44" t="s">
        <v>172</v>
      </c>
      <c r="P44" t="s">
        <v>172</v>
      </c>
      <c r="Q44" t="s">
        <v>48</v>
      </c>
      <c r="R44" t="s">
        <v>173</v>
      </c>
      <c r="S44" t="s">
        <v>167</v>
      </c>
      <c r="T44" t="s">
        <v>165</v>
      </c>
      <c r="U44" t="s">
        <v>165</v>
      </c>
      <c r="V44" t="s">
        <v>165</v>
      </c>
    </row>
    <row r="45" spans="1:22" hidden="1" x14ac:dyDescent="0.3">
      <c r="A45">
        <v>102</v>
      </c>
      <c r="B45" t="s">
        <v>174</v>
      </c>
      <c r="C45" t="s">
        <v>174</v>
      </c>
      <c r="D45" t="s">
        <v>123</v>
      </c>
      <c r="E45" t="s">
        <v>24</v>
      </c>
      <c r="F45" t="s">
        <v>25</v>
      </c>
      <c r="G45" t="s">
        <v>99</v>
      </c>
      <c r="H45" t="s">
        <v>46</v>
      </c>
      <c r="I45" t="s">
        <v>28</v>
      </c>
      <c r="J45" t="s">
        <v>29</v>
      </c>
      <c r="K45" t="s">
        <v>164</v>
      </c>
      <c r="L45" t="s">
        <v>32</v>
      </c>
      <c r="M45" t="s">
        <v>174</v>
      </c>
      <c r="N45" t="s">
        <v>32</v>
      </c>
      <c r="O45" t="s">
        <v>175</v>
      </c>
      <c r="P45" t="s">
        <v>175</v>
      </c>
      <c r="Q45" t="s">
        <v>48</v>
      </c>
      <c r="R45" t="s">
        <v>173</v>
      </c>
      <c r="S45" t="s">
        <v>167</v>
      </c>
      <c r="T45" t="s">
        <v>165</v>
      </c>
      <c r="U45" t="s">
        <v>165</v>
      </c>
      <c r="V45" t="s">
        <v>165</v>
      </c>
    </row>
    <row r="46" spans="1:22" hidden="1" x14ac:dyDescent="0.3">
      <c r="A46">
        <v>103</v>
      </c>
      <c r="B46" t="s">
        <v>176</v>
      </c>
      <c r="C46" t="s">
        <v>177</v>
      </c>
      <c r="D46" t="s">
        <v>123</v>
      </c>
      <c r="E46" t="s">
        <v>24</v>
      </c>
      <c r="F46" t="s">
        <v>25</v>
      </c>
      <c r="G46" t="s">
        <v>99</v>
      </c>
      <c r="H46" t="s">
        <v>28</v>
      </c>
      <c r="I46" t="s">
        <v>28</v>
      </c>
      <c r="J46" t="s">
        <v>29</v>
      </c>
      <c r="K46" t="s">
        <v>164</v>
      </c>
      <c r="L46" t="s">
        <v>32</v>
      </c>
      <c r="M46" t="s">
        <v>177</v>
      </c>
      <c r="N46" t="s">
        <v>32</v>
      </c>
      <c r="O46" t="s">
        <v>178</v>
      </c>
      <c r="P46" t="s">
        <v>178</v>
      </c>
      <c r="Q46" t="s">
        <v>48</v>
      </c>
      <c r="R46" t="s">
        <v>170</v>
      </c>
      <c r="S46" t="s">
        <v>167</v>
      </c>
      <c r="T46" t="s">
        <v>165</v>
      </c>
      <c r="U46" t="s">
        <v>165</v>
      </c>
      <c r="V46" t="s">
        <v>165</v>
      </c>
    </row>
    <row r="47" spans="1:22" hidden="1" x14ac:dyDescent="0.3">
      <c r="A47">
        <v>105</v>
      </c>
      <c r="B47" t="s">
        <v>179</v>
      </c>
      <c r="C47" t="s">
        <v>180</v>
      </c>
      <c r="D47" t="s">
        <v>123</v>
      </c>
      <c r="E47" t="s">
        <v>24</v>
      </c>
      <c r="F47" t="s">
        <v>25</v>
      </c>
      <c r="G47" t="s">
        <v>99</v>
      </c>
      <c r="H47" t="s">
        <v>28</v>
      </c>
      <c r="I47" t="s">
        <v>28</v>
      </c>
      <c r="J47" t="s">
        <v>29</v>
      </c>
      <c r="K47" t="s">
        <v>181</v>
      </c>
      <c r="L47" t="s">
        <v>32</v>
      </c>
      <c r="M47" t="s">
        <v>180</v>
      </c>
      <c r="N47" t="s">
        <v>32</v>
      </c>
      <c r="O47" t="s">
        <v>182</v>
      </c>
      <c r="P47" t="s">
        <v>182</v>
      </c>
      <c r="Q47" t="s">
        <v>183</v>
      </c>
      <c r="R47" t="s">
        <v>184</v>
      </c>
      <c r="S47" t="s">
        <v>185</v>
      </c>
      <c r="T47" t="s">
        <v>182</v>
      </c>
      <c r="U47" t="s">
        <v>182</v>
      </c>
      <c r="V47" t="s">
        <v>182</v>
      </c>
    </row>
    <row r="48" spans="1:22" hidden="1" x14ac:dyDescent="0.3">
      <c r="A48">
        <v>106</v>
      </c>
      <c r="B48" t="s">
        <v>186</v>
      </c>
      <c r="C48" t="s">
        <v>186</v>
      </c>
      <c r="D48" t="s">
        <v>123</v>
      </c>
      <c r="E48" t="s">
        <v>24</v>
      </c>
      <c r="F48" t="s">
        <v>25</v>
      </c>
      <c r="G48" t="s">
        <v>99</v>
      </c>
      <c r="H48" t="s">
        <v>28</v>
      </c>
      <c r="I48" t="s">
        <v>28</v>
      </c>
      <c r="J48" t="s">
        <v>29</v>
      </c>
      <c r="K48" t="s">
        <v>181</v>
      </c>
      <c r="L48" t="s">
        <v>32</v>
      </c>
      <c r="M48" t="s">
        <v>186</v>
      </c>
      <c r="N48" t="s">
        <v>32</v>
      </c>
      <c r="O48" t="s">
        <v>182</v>
      </c>
      <c r="P48" t="s">
        <v>182</v>
      </c>
      <c r="Q48" t="s">
        <v>48</v>
      </c>
      <c r="R48" t="s">
        <v>187</v>
      </c>
      <c r="S48" t="s">
        <v>185</v>
      </c>
      <c r="T48" t="s">
        <v>182</v>
      </c>
      <c r="U48" t="s">
        <v>182</v>
      </c>
      <c r="V48" t="s">
        <v>182</v>
      </c>
    </row>
    <row r="49" spans="1:22" hidden="1" x14ac:dyDescent="0.3">
      <c r="A49">
        <v>109</v>
      </c>
      <c r="B49" t="s">
        <v>188</v>
      </c>
      <c r="C49" t="s">
        <v>188</v>
      </c>
      <c r="D49" t="s">
        <v>23</v>
      </c>
      <c r="E49" t="s">
        <v>24</v>
      </c>
      <c r="F49" t="s">
        <v>25</v>
      </c>
      <c r="G49" t="s">
        <v>26</v>
      </c>
      <c r="H49" t="s">
        <v>27</v>
      </c>
      <c r="I49" t="s">
        <v>28</v>
      </c>
      <c r="J49" t="s">
        <v>29</v>
      </c>
      <c r="K49" t="s">
        <v>189</v>
      </c>
      <c r="L49" t="s">
        <v>190</v>
      </c>
      <c r="M49" t="s">
        <v>188</v>
      </c>
      <c r="N49" t="s">
        <v>32</v>
      </c>
      <c r="O49" t="s">
        <v>191</v>
      </c>
      <c r="P49" t="s">
        <v>191</v>
      </c>
      <c r="Q49" t="s">
        <v>34</v>
      </c>
      <c r="R49" t="s">
        <v>35</v>
      </c>
      <c r="S49" t="s">
        <v>192</v>
      </c>
      <c r="T49" t="s">
        <v>191</v>
      </c>
      <c r="U49" t="s">
        <v>191</v>
      </c>
      <c r="V49" t="s">
        <v>191</v>
      </c>
    </row>
    <row r="50" spans="1:22" hidden="1" x14ac:dyDescent="0.3">
      <c r="A50">
        <v>110</v>
      </c>
      <c r="B50" t="s">
        <v>193</v>
      </c>
      <c r="C50" t="s">
        <v>193</v>
      </c>
      <c r="D50" t="s">
        <v>23</v>
      </c>
      <c r="E50" t="s">
        <v>24</v>
      </c>
      <c r="F50" t="s">
        <v>25</v>
      </c>
      <c r="G50" t="s">
        <v>26</v>
      </c>
      <c r="H50" t="s">
        <v>27</v>
      </c>
      <c r="I50" t="s">
        <v>28</v>
      </c>
      <c r="J50" t="s">
        <v>29</v>
      </c>
      <c r="K50" t="s">
        <v>189</v>
      </c>
      <c r="L50" t="s">
        <v>190</v>
      </c>
      <c r="M50" t="s">
        <v>193</v>
      </c>
      <c r="N50" t="s">
        <v>32</v>
      </c>
      <c r="O50" t="s">
        <v>191</v>
      </c>
      <c r="P50" t="s">
        <v>191</v>
      </c>
      <c r="Q50" t="s">
        <v>34</v>
      </c>
      <c r="R50" t="s">
        <v>35</v>
      </c>
      <c r="S50" t="s">
        <v>192</v>
      </c>
      <c r="T50" t="s">
        <v>191</v>
      </c>
      <c r="U50" t="s">
        <v>191</v>
      </c>
      <c r="V50" t="s">
        <v>191</v>
      </c>
    </row>
    <row r="51" spans="1:22" hidden="1" x14ac:dyDescent="0.3">
      <c r="A51">
        <v>111</v>
      </c>
      <c r="B51" t="s">
        <v>194</v>
      </c>
      <c r="C51" t="s">
        <v>194</v>
      </c>
      <c r="D51" t="s">
        <v>23</v>
      </c>
      <c r="E51" t="s">
        <v>24</v>
      </c>
      <c r="F51" t="s">
        <v>25</v>
      </c>
      <c r="G51" t="s">
        <v>26</v>
      </c>
      <c r="H51" t="s">
        <v>27</v>
      </c>
      <c r="I51" t="s">
        <v>28</v>
      </c>
      <c r="J51" t="s">
        <v>29</v>
      </c>
      <c r="K51" t="s">
        <v>189</v>
      </c>
      <c r="L51" t="s">
        <v>190</v>
      </c>
      <c r="M51" t="s">
        <v>194</v>
      </c>
      <c r="N51" t="s">
        <v>32</v>
      </c>
      <c r="O51" t="s">
        <v>191</v>
      </c>
      <c r="P51" t="s">
        <v>191</v>
      </c>
      <c r="Q51" t="s">
        <v>34</v>
      </c>
      <c r="R51" t="s">
        <v>35</v>
      </c>
      <c r="S51" t="s">
        <v>192</v>
      </c>
      <c r="T51" t="s">
        <v>191</v>
      </c>
      <c r="U51" t="s">
        <v>191</v>
      </c>
      <c r="V51" t="s">
        <v>191</v>
      </c>
    </row>
    <row r="52" spans="1:22" hidden="1" x14ac:dyDescent="0.3">
      <c r="A52">
        <v>112</v>
      </c>
      <c r="B52" t="s">
        <v>195</v>
      </c>
      <c r="C52" t="s">
        <v>195</v>
      </c>
      <c r="D52" t="s">
        <v>23</v>
      </c>
      <c r="E52" t="s">
        <v>24</v>
      </c>
      <c r="F52" t="s">
        <v>25</v>
      </c>
      <c r="G52" t="s">
        <v>26</v>
      </c>
      <c r="H52" t="s">
        <v>27</v>
      </c>
      <c r="I52" t="s">
        <v>28</v>
      </c>
      <c r="J52" t="s">
        <v>29</v>
      </c>
      <c r="K52" t="s">
        <v>189</v>
      </c>
      <c r="L52" t="s">
        <v>190</v>
      </c>
      <c r="M52" t="s">
        <v>195</v>
      </c>
      <c r="N52" t="s">
        <v>32</v>
      </c>
      <c r="O52" t="s">
        <v>191</v>
      </c>
      <c r="P52" t="s">
        <v>191</v>
      </c>
      <c r="Q52" t="s">
        <v>34</v>
      </c>
      <c r="R52" t="s">
        <v>35</v>
      </c>
      <c r="S52" t="s">
        <v>192</v>
      </c>
      <c r="T52" t="s">
        <v>191</v>
      </c>
      <c r="U52" t="s">
        <v>191</v>
      </c>
      <c r="V52" t="s">
        <v>191</v>
      </c>
    </row>
    <row r="53" spans="1:22" hidden="1" x14ac:dyDescent="0.3">
      <c r="A53">
        <v>113</v>
      </c>
      <c r="B53" t="s">
        <v>196</v>
      </c>
      <c r="C53" t="s">
        <v>196</v>
      </c>
      <c r="D53" t="s">
        <v>23</v>
      </c>
      <c r="E53" t="s">
        <v>24</v>
      </c>
      <c r="F53" t="s">
        <v>25</v>
      </c>
      <c r="G53" t="s">
        <v>26</v>
      </c>
      <c r="H53" t="s">
        <v>27</v>
      </c>
      <c r="I53" t="s">
        <v>28</v>
      </c>
      <c r="J53" t="s">
        <v>29</v>
      </c>
      <c r="K53" t="s">
        <v>189</v>
      </c>
      <c r="L53" t="s">
        <v>190</v>
      </c>
      <c r="M53" t="s">
        <v>196</v>
      </c>
      <c r="N53" t="s">
        <v>32</v>
      </c>
      <c r="O53" t="s">
        <v>191</v>
      </c>
      <c r="P53" t="s">
        <v>191</v>
      </c>
      <c r="Q53" t="s">
        <v>34</v>
      </c>
      <c r="R53" t="s">
        <v>35</v>
      </c>
      <c r="S53" t="s">
        <v>192</v>
      </c>
      <c r="T53" t="s">
        <v>191</v>
      </c>
      <c r="U53" t="s">
        <v>191</v>
      </c>
      <c r="V53" t="s">
        <v>191</v>
      </c>
    </row>
    <row r="54" spans="1:22" hidden="1" x14ac:dyDescent="0.3">
      <c r="A54">
        <v>114</v>
      </c>
      <c r="B54" t="s">
        <v>197</v>
      </c>
      <c r="C54" t="s">
        <v>197</v>
      </c>
      <c r="D54" t="s">
        <v>23</v>
      </c>
      <c r="E54" t="s">
        <v>24</v>
      </c>
      <c r="F54" t="s">
        <v>25</v>
      </c>
      <c r="G54" t="s">
        <v>26</v>
      </c>
      <c r="H54" t="s">
        <v>27</v>
      </c>
      <c r="I54" t="s">
        <v>28</v>
      </c>
      <c r="J54" t="s">
        <v>29</v>
      </c>
      <c r="K54" t="s">
        <v>189</v>
      </c>
      <c r="L54" t="s">
        <v>190</v>
      </c>
      <c r="M54" t="s">
        <v>197</v>
      </c>
      <c r="N54" t="s">
        <v>32</v>
      </c>
      <c r="O54" t="s">
        <v>191</v>
      </c>
      <c r="P54" t="s">
        <v>191</v>
      </c>
      <c r="Q54" t="s">
        <v>34</v>
      </c>
      <c r="R54" t="s">
        <v>35</v>
      </c>
      <c r="S54" t="s">
        <v>192</v>
      </c>
      <c r="T54" t="s">
        <v>191</v>
      </c>
      <c r="U54" t="s">
        <v>191</v>
      </c>
      <c r="V54" t="s">
        <v>191</v>
      </c>
    </row>
    <row r="55" spans="1:22" hidden="1" x14ac:dyDescent="0.3">
      <c r="A55">
        <v>115</v>
      </c>
      <c r="B55" t="s">
        <v>198</v>
      </c>
      <c r="C55" t="s">
        <v>198</v>
      </c>
      <c r="D55" t="s">
        <v>23</v>
      </c>
      <c r="E55" t="s">
        <v>24</v>
      </c>
      <c r="F55" t="s">
        <v>25</v>
      </c>
      <c r="G55" t="s">
        <v>26</v>
      </c>
      <c r="H55" t="s">
        <v>27</v>
      </c>
      <c r="I55" t="s">
        <v>28</v>
      </c>
      <c r="J55" t="s">
        <v>29</v>
      </c>
      <c r="K55" t="s">
        <v>189</v>
      </c>
      <c r="L55" t="s">
        <v>190</v>
      </c>
      <c r="M55" t="s">
        <v>198</v>
      </c>
      <c r="N55" t="s">
        <v>32</v>
      </c>
      <c r="O55" t="s">
        <v>191</v>
      </c>
      <c r="P55" t="s">
        <v>191</v>
      </c>
      <c r="Q55" t="s">
        <v>34</v>
      </c>
      <c r="R55" t="s">
        <v>35</v>
      </c>
      <c r="S55" t="s">
        <v>192</v>
      </c>
      <c r="T55" t="s">
        <v>191</v>
      </c>
      <c r="U55" t="s">
        <v>191</v>
      </c>
      <c r="V55" t="s">
        <v>191</v>
      </c>
    </row>
    <row r="56" spans="1:22" hidden="1" x14ac:dyDescent="0.3">
      <c r="A56">
        <v>116</v>
      </c>
      <c r="B56" t="s">
        <v>199</v>
      </c>
      <c r="C56" t="s">
        <v>199</v>
      </c>
      <c r="D56" t="s">
        <v>23</v>
      </c>
      <c r="E56" t="s">
        <v>24</v>
      </c>
      <c r="F56" t="s">
        <v>25</v>
      </c>
      <c r="G56" t="s">
        <v>26</v>
      </c>
      <c r="H56" t="s">
        <v>27</v>
      </c>
      <c r="I56" t="s">
        <v>28</v>
      </c>
      <c r="J56" t="s">
        <v>29</v>
      </c>
      <c r="K56" t="s">
        <v>189</v>
      </c>
      <c r="L56" t="s">
        <v>190</v>
      </c>
      <c r="M56" t="s">
        <v>199</v>
      </c>
      <c r="N56" t="s">
        <v>32</v>
      </c>
      <c r="O56" t="s">
        <v>191</v>
      </c>
      <c r="P56" t="s">
        <v>191</v>
      </c>
      <c r="Q56" t="s">
        <v>34</v>
      </c>
      <c r="R56" t="s">
        <v>35</v>
      </c>
      <c r="S56" t="s">
        <v>192</v>
      </c>
      <c r="T56" t="s">
        <v>191</v>
      </c>
      <c r="U56" t="s">
        <v>191</v>
      </c>
      <c r="V56" t="s">
        <v>191</v>
      </c>
    </row>
    <row r="57" spans="1:22" hidden="1" x14ac:dyDescent="0.3">
      <c r="A57">
        <v>117</v>
      </c>
      <c r="B57" t="s">
        <v>200</v>
      </c>
      <c r="C57" t="s">
        <v>200</v>
      </c>
      <c r="D57" t="s">
        <v>23</v>
      </c>
      <c r="E57" t="s">
        <v>24</v>
      </c>
      <c r="F57" t="s">
        <v>25</v>
      </c>
      <c r="G57" t="s">
        <v>26</v>
      </c>
      <c r="H57" t="s">
        <v>27</v>
      </c>
      <c r="I57" t="s">
        <v>28</v>
      </c>
      <c r="J57" t="s">
        <v>29</v>
      </c>
      <c r="K57" t="s">
        <v>189</v>
      </c>
      <c r="L57" t="s">
        <v>190</v>
      </c>
      <c r="M57" t="s">
        <v>200</v>
      </c>
      <c r="N57" t="s">
        <v>32</v>
      </c>
      <c r="O57" t="s">
        <v>191</v>
      </c>
      <c r="P57" t="s">
        <v>191</v>
      </c>
      <c r="Q57" t="s">
        <v>34</v>
      </c>
      <c r="R57" t="s">
        <v>35</v>
      </c>
      <c r="S57" t="s">
        <v>192</v>
      </c>
      <c r="T57" t="s">
        <v>191</v>
      </c>
      <c r="U57" t="s">
        <v>191</v>
      </c>
      <c r="V57" t="s">
        <v>191</v>
      </c>
    </row>
    <row r="58" spans="1:22" hidden="1" x14ac:dyDescent="0.3">
      <c r="A58">
        <v>118</v>
      </c>
      <c r="B58" t="s">
        <v>201</v>
      </c>
      <c r="C58" t="s">
        <v>202</v>
      </c>
      <c r="D58" t="s">
        <v>44</v>
      </c>
      <c r="E58" t="s">
        <v>24</v>
      </c>
      <c r="F58" t="s">
        <v>25</v>
      </c>
      <c r="G58" t="s">
        <v>45</v>
      </c>
      <c r="H58" t="s">
        <v>27</v>
      </c>
      <c r="I58" t="s">
        <v>28</v>
      </c>
      <c r="J58" t="s">
        <v>29</v>
      </c>
      <c r="K58" t="s">
        <v>189</v>
      </c>
      <c r="L58" t="s">
        <v>190</v>
      </c>
      <c r="M58" t="s">
        <v>202</v>
      </c>
      <c r="N58" t="s">
        <v>32</v>
      </c>
      <c r="O58" t="s">
        <v>191</v>
      </c>
      <c r="P58" t="s">
        <v>191</v>
      </c>
      <c r="Q58" t="s">
        <v>48</v>
      </c>
      <c r="R58" t="s">
        <v>49</v>
      </c>
      <c r="S58" t="s">
        <v>192</v>
      </c>
      <c r="T58" t="s">
        <v>191</v>
      </c>
      <c r="U58" t="s">
        <v>191</v>
      </c>
      <c r="V58" t="s">
        <v>191</v>
      </c>
    </row>
    <row r="59" spans="1:22" hidden="1" x14ac:dyDescent="0.3">
      <c r="A59">
        <v>119</v>
      </c>
      <c r="B59" t="s">
        <v>203</v>
      </c>
      <c r="C59" t="s">
        <v>204</v>
      </c>
      <c r="D59" t="s">
        <v>44</v>
      </c>
      <c r="E59" t="s">
        <v>24</v>
      </c>
      <c r="F59" t="s">
        <v>25</v>
      </c>
      <c r="G59" t="s">
        <v>45</v>
      </c>
      <c r="H59" t="s">
        <v>46</v>
      </c>
      <c r="I59" t="s">
        <v>28</v>
      </c>
      <c r="J59" t="s">
        <v>29</v>
      </c>
      <c r="K59" t="s">
        <v>189</v>
      </c>
      <c r="L59" t="s">
        <v>190</v>
      </c>
      <c r="M59" t="s">
        <v>204</v>
      </c>
      <c r="N59" t="s">
        <v>32</v>
      </c>
      <c r="O59" t="s">
        <v>205</v>
      </c>
      <c r="P59" t="s">
        <v>205</v>
      </c>
      <c r="Q59" t="s">
        <v>48</v>
      </c>
      <c r="R59" t="s">
        <v>49</v>
      </c>
      <c r="S59" t="s">
        <v>192</v>
      </c>
      <c r="T59" t="s">
        <v>191</v>
      </c>
      <c r="U59" t="s">
        <v>206</v>
      </c>
      <c r="V59" t="s">
        <v>206</v>
      </c>
    </row>
    <row r="60" spans="1:22" hidden="1" x14ac:dyDescent="0.3">
      <c r="A60">
        <v>120</v>
      </c>
      <c r="B60" t="s">
        <v>207</v>
      </c>
      <c r="C60" t="s">
        <v>207</v>
      </c>
      <c r="D60" t="s">
        <v>23</v>
      </c>
      <c r="E60" t="s">
        <v>24</v>
      </c>
      <c r="F60" t="s">
        <v>25</v>
      </c>
      <c r="G60" t="s">
        <v>26</v>
      </c>
      <c r="H60" t="s">
        <v>27</v>
      </c>
      <c r="I60" t="s">
        <v>28</v>
      </c>
      <c r="J60" t="s">
        <v>29</v>
      </c>
      <c r="K60" t="s">
        <v>189</v>
      </c>
      <c r="L60" t="s">
        <v>190</v>
      </c>
      <c r="M60" t="s">
        <v>207</v>
      </c>
      <c r="N60" t="s">
        <v>32</v>
      </c>
      <c r="O60" t="s">
        <v>208</v>
      </c>
      <c r="P60" t="s">
        <v>208</v>
      </c>
      <c r="Q60" t="s">
        <v>34</v>
      </c>
      <c r="R60" t="s">
        <v>35</v>
      </c>
      <c r="S60" t="s">
        <v>192</v>
      </c>
      <c r="T60" t="s">
        <v>191</v>
      </c>
      <c r="U60" t="s">
        <v>206</v>
      </c>
      <c r="V60" t="s">
        <v>206</v>
      </c>
    </row>
    <row r="61" spans="1:22" hidden="1" x14ac:dyDescent="0.3">
      <c r="A61">
        <v>121</v>
      </c>
      <c r="B61" t="s">
        <v>209</v>
      </c>
      <c r="C61" t="s">
        <v>209</v>
      </c>
      <c r="D61" t="s">
        <v>23</v>
      </c>
      <c r="E61" t="s">
        <v>24</v>
      </c>
      <c r="F61" t="s">
        <v>25</v>
      </c>
      <c r="G61" t="s">
        <v>26</v>
      </c>
      <c r="H61" t="s">
        <v>27</v>
      </c>
      <c r="I61" t="s">
        <v>28</v>
      </c>
      <c r="J61" t="s">
        <v>29</v>
      </c>
      <c r="K61" t="s">
        <v>189</v>
      </c>
      <c r="L61" t="s">
        <v>190</v>
      </c>
      <c r="M61" t="s">
        <v>209</v>
      </c>
      <c r="N61" t="s">
        <v>32</v>
      </c>
      <c r="O61" t="s">
        <v>210</v>
      </c>
      <c r="P61" t="s">
        <v>210</v>
      </c>
      <c r="Q61" t="s">
        <v>34</v>
      </c>
      <c r="R61" t="s">
        <v>35</v>
      </c>
      <c r="S61" t="s">
        <v>192</v>
      </c>
      <c r="T61" t="s">
        <v>191</v>
      </c>
      <c r="U61" t="s">
        <v>206</v>
      </c>
      <c r="V61" t="s">
        <v>206</v>
      </c>
    </row>
    <row r="62" spans="1:22" hidden="1" x14ac:dyDescent="0.3">
      <c r="A62">
        <v>176</v>
      </c>
      <c r="B62" t="s">
        <v>211</v>
      </c>
      <c r="C62" t="s">
        <v>212</v>
      </c>
      <c r="D62" t="s">
        <v>59</v>
      </c>
      <c r="E62" t="s">
        <v>24</v>
      </c>
      <c r="F62" t="s">
        <v>213</v>
      </c>
      <c r="G62" t="s">
        <v>99</v>
      </c>
      <c r="H62" t="s">
        <v>28</v>
      </c>
      <c r="I62" t="s">
        <v>28</v>
      </c>
      <c r="J62" t="s">
        <v>29</v>
      </c>
      <c r="K62" t="s">
        <v>189</v>
      </c>
      <c r="L62" t="s">
        <v>32</v>
      </c>
      <c r="M62" t="s">
        <v>212</v>
      </c>
      <c r="N62" t="s">
        <v>32</v>
      </c>
      <c r="O62" t="s">
        <v>214</v>
      </c>
      <c r="P62" t="s">
        <v>214</v>
      </c>
      <c r="Q62" t="s">
        <v>100</v>
      </c>
      <c r="R62" t="s">
        <v>215</v>
      </c>
      <c r="S62" t="s">
        <v>216</v>
      </c>
      <c r="T62" t="s">
        <v>214</v>
      </c>
      <c r="U62" t="s">
        <v>214</v>
      </c>
      <c r="V62" t="s">
        <v>214</v>
      </c>
    </row>
    <row r="63" spans="1:22" hidden="1" x14ac:dyDescent="0.3">
      <c r="A63">
        <v>177</v>
      </c>
      <c r="B63" t="s">
        <v>217</v>
      </c>
      <c r="C63" t="s">
        <v>218</v>
      </c>
      <c r="D63" t="s">
        <v>59</v>
      </c>
      <c r="E63" t="s">
        <v>24</v>
      </c>
      <c r="F63" t="s">
        <v>213</v>
      </c>
      <c r="G63" t="s">
        <v>99</v>
      </c>
      <c r="H63" t="s">
        <v>28</v>
      </c>
      <c r="I63" t="s">
        <v>28</v>
      </c>
      <c r="J63" t="s">
        <v>29</v>
      </c>
      <c r="K63" t="s">
        <v>189</v>
      </c>
      <c r="L63" t="s">
        <v>32</v>
      </c>
      <c r="M63" t="s">
        <v>218</v>
      </c>
      <c r="N63" t="s">
        <v>32</v>
      </c>
      <c r="O63" t="s">
        <v>214</v>
      </c>
      <c r="P63" t="s">
        <v>214</v>
      </c>
      <c r="Q63" t="s">
        <v>100</v>
      </c>
      <c r="R63" t="s">
        <v>215</v>
      </c>
      <c r="S63" t="s">
        <v>216</v>
      </c>
      <c r="T63" t="s">
        <v>214</v>
      </c>
      <c r="U63" t="s">
        <v>214</v>
      </c>
      <c r="V63" t="s">
        <v>214</v>
      </c>
    </row>
    <row r="64" spans="1:22" hidden="1" x14ac:dyDescent="0.3">
      <c r="A64">
        <v>178</v>
      </c>
      <c r="B64" t="s">
        <v>219</v>
      </c>
      <c r="C64" t="s">
        <v>220</v>
      </c>
      <c r="D64" t="s">
        <v>59</v>
      </c>
      <c r="E64" t="s">
        <v>24</v>
      </c>
      <c r="F64" t="s">
        <v>213</v>
      </c>
      <c r="G64" t="s">
        <v>99</v>
      </c>
      <c r="H64" t="s">
        <v>28</v>
      </c>
      <c r="I64" t="s">
        <v>28</v>
      </c>
      <c r="J64" t="s">
        <v>29</v>
      </c>
      <c r="K64" t="s">
        <v>189</v>
      </c>
      <c r="L64" t="s">
        <v>32</v>
      </c>
      <c r="M64" t="s">
        <v>220</v>
      </c>
      <c r="N64" t="s">
        <v>32</v>
      </c>
      <c r="O64" t="s">
        <v>214</v>
      </c>
      <c r="P64" t="s">
        <v>214</v>
      </c>
      <c r="Q64" t="s">
        <v>100</v>
      </c>
      <c r="R64" t="s">
        <v>215</v>
      </c>
      <c r="S64" t="s">
        <v>216</v>
      </c>
      <c r="T64" t="s">
        <v>214</v>
      </c>
      <c r="U64" t="s">
        <v>214</v>
      </c>
      <c r="V64" t="s">
        <v>214</v>
      </c>
    </row>
    <row r="65" spans="1:22" hidden="1" x14ac:dyDescent="0.3">
      <c r="A65">
        <v>179</v>
      </c>
      <c r="B65" t="s">
        <v>221</v>
      </c>
      <c r="C65" t="s">
        <v>222</v>
      </c>
      <c r="D65" t="s">
        <v>84</v>
      </c>
      <c r="E65" t="s">
        <v>24</v>
      </c>
      <c r="F65" t="s">
        <v>25</v>
      </c>
      <c r="G65" t="s">
        <v>99</v>
      </c>
      <c r="H65" t="s">
        <v>28</v>
      </c>
      <c r="I65" t="s">
        <v>28</v>
      </c>
      <c r="J65" t="s">
        <v>29</v>
      </c>
      <c r="K65" t="s">
        <v>189</v>
      </c>
      <c r="L65" t="s">
        <v>32</v>
      </c>
      <c r="M65" t="s">
        <v>222</v>
      </c>
      <c r="N65" t="s">
        <v>32</v>
      </c>
      <c r="O65" t="s">
        <v>214</v>
      </c>
      <c r="P65" t="s">
        <v>214</v>
      </c>
      <c r="Q65" t="s">
        <v>223</v>
      </c>
      <c r="R65" t="s">
        <v>224</v>
      </c>
      <c r="S65" t="s">
        <v>216</v>
      </c>
      <c r="T65" t="s">
        <v>214</v>
      </c>
      <c r="U65" t="s">
        <v>214</v>
      </c>
      <c r="V65" t="s">
        <v>214</v>
      </c>
    </row>
    <row r="66" spans="1:22" hidden="1" x14ac:dyDescent="0.3">
      <c r="A66">
        <v>180</v>
      </c>
      <c r="B66" t="s">
        <v>225</v>
      </c>
      <c r="C66" t="s">
        <v>226</v>
      </c>
      <c r="D66" t="s">
        <v>110</v>
      </c>
      <c r="E66" t="s">
        <v>110</v>
      </c>
      <c r="F66" t="s">
        <v>110</v>
      </c>
      <c r="G66" t="s">
        <v>99</v>
      </c>
      <c r="H66" t="s">
        <v>28</v>
      </c>
      <c r="I66" t="s">
        <v>28</v>
      </c>
      <c r="J66" t="s">
        <v>29</v>
      </c>
      <c r="K66" t="s">
        <v>189</v>
      </c>
      <c r="L66" t="s">
        <v>32</v>
      </c>
      <c r="M66" t="s">
        <v>226</v>
      </c>
      <c r="N66" t="s">
        <v>32</v>
      </c>
      <c r="O66" t="s">
        <v>214</v>
      </c>
      <c r="P66" t="s">
        <v>214</v>
      </c>
      <c r="Q66" t="s">
        <v>111</v>
      </c>
      <c r="R66" t="s">
        <v>111</v>
      </c>
      <c r="S66" t="s">
        <v>216</v>
      </c>
      <c r="T66" t="s">
        <v>214</v>
      </c>
      <c r="U66" t="s">
        <v>214</v>
      </c>
      <c r="V66" t="s">
        <v>214</v>
      </c>
    </row>
    <row r="67" spans="1:22" hidden="1" x14ac:dyDescent="0.3">
      <c r="A67">
        <v>181</v>
      </c>
      <c r="B67" t="s">
        <v>227</v>
      </c>
      <c r="C67" t="s">
        <v>228</v>
      </c>
      <c r="D67" t="s">
        <v>110</v>
      </c>
      <c r="E67" t="s">
        <v>110</v>
      </c>
      <c r="F67" t="s">
        <v>110</v>
      </c>
      <c r="G67" t="s">
        <v>99</v>
      </c>
      <c r="H67" t="s">
        <v>28</v>
      </c>
      <c r="I67" t="s">
        <v>28</v>
      </c>
      <c r="J67" t="s">
        <v>29</v>
      </c>
      <c r="K67" t="s">
        <v>189</v>
      </c>
      <c r="L67" t="s">
        <v>32</v>
      </c>
      <c r="M67" t="s">
        <v>228</v>
      </c>
      <c r="N67" t="s">
        <v>32</v>
      </c>
      <c r="O67" t="s">
        <v>214</v>
      </c>
      <c r="P67" t="s">
        <v>214</v>
      </c>
      <c r="Q67" t="s">
        <v>111</v>
      </c>
      <c r="R67" t="s">
        <v>111</v>
      </c>
      <c r="S67" t="s">
        <v>216</v>
      </c>
      <c r="T67" t="s">
        <v>214</v>
      </c>
      <c r="U67" t="s">
        <v>214</v>
      </c>
      <c r="V67" t="s">
        <v>214</v>
      </c>
    </row>
    <row r="68" spans="1:22" hidden="1" x14ac:dyDescent="0.3">
      <c r="A68">
        <v>182</v>
      </c>
      <c r="B68" t="s">
        <v>229</v>
      </c>
      <c r="C68" t="s">
        <v>230</v>
      </c>
      <c r="D68" t="s">
        <v>59</v>
      </c>
      <c r="E68" t="s">
        <v>24</v>
      </c>
      <c r="F68" t="s">
        <v>25</v>
      </c>
      <c r="G68" t="s">
        <v>99</v>
      </c>
      <c r="H68" t="s">
        <v>28</v>
      </c>
      <c r="I68" t="s">
        <v>28</v>
      </c>
      <c r="J68" t="s">
        <v>29</v>
      </c>
      <c r="K68" t="s">
        <v>189</v>
      </c>
      <c r="L68" t="s">
        <v>32</v>
      </c>
      <c r="M68" t="s">
        <v>230</v>
      </c>
      <c r="N68" t="s">
        <v>32</v>
      </c>
      <c r="O68" t="s">
        <v>214</v>
      </c>
      <c r="P68" t="s">
        <v>214</v>
      </c>
      <c r="Q68" t="s">
        <v>48</v>
      </c>
      <c r="R68" t="s">
        <v>231</v>
      </c>
      <c r="S68" t="s">
        <v>216</v>
      </c>
      <c r="T68" t="s">
        <v>214</v>
      </c>
      <c r="U68" t="s">
        <v>214</v>
      </c>
      <c r="V68" t="s">
        <v>214</v>
      </c>
    </row>
    <row r="69" spans="1:22" hidden="1" x14ac:dyDescent="0.3">
      <c r="A69">
        <v>183</v>
      </c>
      <c r="B69" t="s">
        <v>232</v>
      </c>
      <c r="C69" t="s">
        <v>232</v>
      </c>
      <c r="D69" t="s">
        <v>232</v>
      </c>
      <c r="E69" t="s">
        <v>24</v>
      </c>
      <c r="F69" t="s">
        <v>25</v>
      </c>
      <c r="G69" t="s">
        <v>99</v>
      </c>
      <c r="H69" t="s">
        <v>28</v>
      </c>
      <c r="I69" t="s">
        <v>28</v>
      </c>
      <c r="J69" t="s">
        <v>29</v>
      </c>
      <c r="K69" t="s">
        <v>189</v>
      </c>
      <c r="L69" t="s">
        <v>32</v>
      </c>
      <c r="M69" t="s">
        <v>232</v>
      </c>
      <c r="N69" t="s">
        <v>32</v>
      </c>
      <c r="O69" t="s">
        <v>214</v>
      </c>
      <c r="P69" t="s">
        <v>214</v>
      </c>
      <c r="Q69" t="s">
        <v>233</v>
      </c>
      <c r="R69" t="s">
        <v>234</v>
      </c>
      <c r="S69" t="s">
        <v>216</v>
      </c>
      <c r="T69" t="s">
        <v>214</v>
      </c>
      <c r="U69" t="s">
        <v>214</v>
      </c>
      <c r="V69" t="s">
        <v>214</v>
      </c>
    </row>
    <row r="70" spans="1:22" hidden="1" x14ac:dyDescent="0.3">
      <c r="A70">
        <v>184</v>
      </c>
      <c r="B70" t="s">
        <v>235</v>
      </c>
      <c r="C70" t="s">
        <v>236</v>
      </c>
      <c r="D70" t="s">
        <v>84</v>
      </c>
      <c r="E70" t="s">
        <v>24</v>
      </c>
      <c r="F70" t="s">
        <v>25</v>
      </c>
      <c r="G70" t="s">
        <v>99</v>
      </c>
      <c r="H70" t="s">
        <v>46</v>
      </c>
      <c r="I70" t="s">
        <v>28</v>
      </c>
      <c r="J70" t="s">
        <v>29</v>
      </c>
      <c r="K70" t="s">
        <v>189</v>
      </c>
      <c r="L70" t="s">
        <v>32</v>
      </c>
      <c r="M70" t="s">
        <v>236</v>
      </c>
      <c r="N70" t="s">
        <v>32</v>
      </c>
      <c r="O70" t="s">
        <v>214</v>
      </c>
      <c r="P70" t="s">
        <v>214</v>
      </c>
      <c r="Q70" t="s">
        <v>32</v>
      </c>
      <c r="R70" t="s">
        <v>224</v>
      </c>
      <c r="S70" t="s">
        <v>216</v>
      </c>
      <c r="T70" t="s">
        <v>214</v>
      </c>
      <c r="U70" t="s">
        <v>214</v>
      </c>
      <c r="V70" t="s">
        <v>214</v>
      </c>
    </row>
    <row r="71" spans="1:22" hidden="1" x14ac:dyDescent="0.3">
      <c r="A71">
        <v>186</v>
      </c>
      <c r="B71" t="s">
        <v>237</v>
      </c>
      <c r="C71" t="s">
        <v>238</v>
      </c>
      <c r="D71" t="s">
        <v>84</v>
      </c>
      <c r="E71" t="s">
        <v>24</v>
      </c>
      <c r="F71" t="s">
        <v>25</v>
      </c>
      <c r="G71" t="s">
        <v>99</v>
      </c>
      <c r="H71" t="s">
        <v>46</v>
      </c>
      <c r="I71" t="s">
        <v>28</v>
      </c>
      <c r="J71" t="s">
        <v>29</v>
      </c>
      <c r="K71" t="s">
        <v>189</v>
      </c>
      <c r="L71" t="s">
        <v>32</v>
      </c>
      <c r="M71" t="s">
        <v>238</v>
      </c>
      <c r="N71" t="s">
        <v>32</v>
      </c>
      <c r="O71" t="s">
        <v>214</v>
      </c>
      <c r="P71" t="s">
        <v>214</v>
      </c>
      <c r="Q71" t="s">
        <v>223</v>
      </c>
      <c r="R71" t="s">
        <v>224</v>
      </c>
      <c r="S71" t="s">
        <v>216</v>
      </c>
      <c r="T71" t="s">
        <v>214</v>
      </c>
      <c r="U71" t="s">
        <v>214</v>
      </c>
      <c r="V71" t="s">
        <v>214</v>
      </c>
    </row>
    <row r="72" spans="1:22" hidden="1" x14ac:dyDescent="0.3">
      <c r="A72">
        <v>187</v>
      </c>
      <c r="B72" t="s">
        <v>239</v>
      </c>
      <c r="C72" t="s">
        <v>239</v>
      </c>
      <c r="D72" t="s">
        <v>123</v>
      </c>
      <c r="E72" t="s">
        <v>24</v>
      </c>
      <c r="F72" t="s">
        <v>25</v>
      </c>
      <c r="G72" t="s">
        <v>99</v>
      </c>
      <c r="H72" t="s">
        <v>28</v>
      </c>
      <c r="I72" t="s">
        <v>28</v>
      </c>
      <c r="J72" t="s">
        <v>29</v>
      </c>
      <c r="K72" t="s">
        <v>189</v>
      </c>
      <c r="L72" t="s">
        <v>32</v>
      </c>
      <c r="M72" t="s">
        <v>239</v>
      </c>
      <c r="N72" t="s">
        <v>32</v>
      </c>
      <c r="O72" t="s">
        <v>240</v>
      </c>
      <c r="P72" t="s">
        <v>240</v>
      </c>
      <c r="Q72" t="s">
        <v>125</v>
      </c>
      <c r="R72" t="s">
        <v>126</v>
      </c>
      <c r="S72" t="s">
        <v>216</v>
      </c>
      <c r="T72" t="s">
        <v>214</v>
      </c>
      <c r="U72" t="s">
        <v>240</v>
      </c>
      <c r="V72" t="s">
        <v>240</v>
      </c>
    </row>
    <row r="73" spans="1:22" hidden="1" x14ac:dyDescent="0.3">
      <c r="A73">
        <v>188</v>
      </c>
      <c r="B73" t="s">
        <v>241</v>
      </c>
      <c r="C73" t="s">
        <v>242</v>
      </c>
      <c r="D73" t="s">
        <v>84</v>
      </c>
      <c r="E73" t="s">
        <v>24</v>
      </c>
      <c r="F73" t="s">
        <v>25</v>
      </c>
      <c r="G73" t="s">
        <v>99</v>
      </c>
      <c r="H73" t="s">
        <v>46</v>
      </c>
      <c r="I73" t="s">
        <v>28</v>
      </c>
      <c r="J73" t="s">
        <v>29</v>
      </c>
      <c r="K73" t="s">
        <v>189</v>
      </c>
      <c r="L73" t="s">
        <v>32</v>
      </c>
      <c r="M73" t="s">
        <v>242</v>
      </c>
      <c r="N73" t="s">
        <v>32</v>
      </c>
      <c r="O73" t="s">
        <v>240</v>
      </c>
      <c r="P73" t="s">
        <v>240</v>
      </c>
      <c r="Q73" t="s">
        <v>223</v>
      </c>
      <c r="R73" t="s">
        <v>224</v>
      </c>
      <c r="S73" t="s">
        <v>216</v>
      </c>
      <c r="T73" t="s">
        <v>214</v>
      </c>
      <c r="U73" t="s">
        <v>240</v>
      </c>
      <c r="V73" t="s">
        <v>240</v>
      </c>
    </row>
    <row r="74" spans="1:22" hidden="1" x14ac:dyDescent="0.3">
      <c r="A74">
        <v>189</v>
      </c>
      <c r="B74" t="s">
        <v>243</v>
      </c>
      <c r="C74" t="s">
        <v>244</v>
      </c>
      <c r="D74" t="s">
        <v>84</v>
      </c>
      <c r="E74" t="s">
        <v>24</v>
      </c>
      <c r="F74" t="s">
        <v>25</v>
      </c>
      <c r="G74" t="s">
        <v>99</v>
      </c>
      <c r="H74" t="s">
        <v>46</v>
      </c>
      <c r="I74" t="s">
        <v>28</v>
      </c>
      <c r="J74" t="s">
        <v>29</v>
      </c>
      <c r="K74" t="s">
        <v>189</v>
      </c>
      <c r="L74" t="s">
        <v>32</v>
      </c>
      <c r="M74" t="s">
        <v>244</v>
      </c>
      <c r="N74" t="s">
        <v>32</v>
      </c>
      <c r="O74" t="s">
        <v>240</v>
      </c>
      <c r="P74" t="s">
        <v>240</v>
      </c>
      <c r="Q74" t="s">
        <v>223</v>
      </c>
      <c r="R74" t="s">
        <v>224</v>
      </c>
      <c r="S74" t="s">
        <v>216</v>
      </c>
      <c r="T74" t="s">
        <v>214</v>
      </c>
      <c r="U74" t="s">
        <v>240</v>
      </c>
      <c r="V74" t="s">
        <v>240</v>
      </c>
    </row>
    <row r="75" spans="1:22" hidden="1" x14ac:dyDescent="0.3">
      <c r="A75">
        <v>190</v>
      </c>
      <c r="B75" t="s">
        <v>245</v>
      </c>
      <c r="C75" t="s">
        <v>246</v>
      </c>
      <c r="D75" t="s">
        <v>84</v>
      </c>
      <c r="E75" t="s">
        <v>24</v>
      </c>
      <c r="F75" t="s">
        <v>25</v>
      </c>
      <c r="G75" t="s">
        <v>99</v>
      </c>
      <c r="H75" t="s">
        <v>46</v>
      </c>
      <c r="I75" t="s">
        <v>28</v>
      </c>
      <c r="J75" t="s">
        <v>29</v>
      </c>
      <c r="K75" t="s">
        <v>189</v>
      </c>
      <c r="L75" t="s">
        <v>32</v>
      </c>
      <c r="M75" t="s">
        <v>246</v>
      </c>
      <c r="N75" t="s">
        <v>32</v>
      </c>
      <c r="O75" t="s">
        <v>240</v>
      </c>
      <c r="P75" t="s">
        <v>240</v>
      </c>
      <c r="Q75" t="s">
        <v>223</v>
      </c>
      <c r="R75" t="s">
        <v>224</v>
      </c>
      <c r="S75" t="s">
        <v>216</v>
      </c>
      <c r="T75" t="s">
        <v>214</v>
      </c>
      <c r="U75" t="s">
        <v>240</v>
      </c>
      <c r="V75" t="s">
        <v>240</v>
      </c>
    </row>
    <row r="76" spans="1:22" hidden="1" x14ac:dyDescent="0.3">
      <c r="A76">
        <v>191</v>
      </c>
      <c r="B76" t="s">
        <v>247</v>
      </c>
      <c r="C76" t="s">
        <v>248</v>
      </c>
      <c r="D76" t="s">
        <v>84</v>
      </c>
      <c r="E76" t="s">
        <v>24</v>
      </c>
      <c r="F76" t="s">
        <v>25</v>
      </c>
      <c r="G76" t="s">
        <v>99</v>
      </c>
      <c r="H76" t="s">
        <v>28</v>
      </c>
      <c r="I76" t="s">
        <v>28</v>
      </c>
      <c r="J76" t="s">
        <v>29</v>
      </c>
      <c r="K76" t="s">
        <v>189</v>
      </c>
      <c r="L76" t="s">
        <v>32</v>
      </c>
      <c r="M76" t="s">
        <v>248</v>
      </c>
      <c r="N76" t="s">
        <v>32</v>
      </c>
      <c r="O76" t="s">
        <v>240</v>
      </c>
      <c r="P76" t="s">
        <v>240</v>
      </c>
      <c r="Q76" t="s">
        <v>249</v>
      </c>
      <c r="R76" t="s">
        <v>250</v>
      </c>
      <c r="S76" t="s">
        <v>216</v>
      </c>
      <c r="T76" t="s">
        <v>214</v>
      </c>
      <c r="U76" t="s">
        <v>240</v>
      </c>
      <c r="V76" t="s">
        <v>240</v>
      </c>
    </row>
    <row r="77" spans="1:22" hidden="1" x14ac:dyDescent="0.3">
      <c r="A77">
        <v>192</v>
      </c>
      <c r="B77" t="s">
        <v>251</v>
      </c>
      <c r="C77" t="s">
        <v>252</v>
      </c>
      <c r="D77" t="s">
        <v>110</v>
      </c>
      <c r="E77" t="s">
        <v>110</v>
      </c>
      <c r="F77" t="s">
        <v>110</v>
      </c>
      <c r="G77" t="s">
        <v>99</v>
      </c>
      <c r="H77" t="s">
        <v>28</v>
      </c>
      <c r="I77" t="s">
        <v>28</v>
      </c>
      <c r="J77" t="s">
        <v>29</v>
      </c>
      <c r="K77" t="s">
        <v>189</v>
      </c>
      <c r="L77" t="s">
        <v>32</v>
      </c>
      <c r="M77" t="s">
        <v>252</v>
      </c>
      <c r="N77" t="s">
        <v>32</v>
      </c>
      <c r="O77" t="s">
        <v>240</v>
      </c>
      <c r="P77" t="s">
        <v>240</v>
      </c>
      <c r="Q77" t="s">
        <v>111</v>
      </c>
      <c r="R77" t="s">
        <v>111</v>
      </c>
      <c r="S77" t="s">
        <v>216</v>
      </c>
      <c r="T77" t="s">
        <v>214</v>
      </c>
      <c r="U77" t="s">
        <v>240</v>
      </c>
      <c r="V77" t="s">
        <v>240</v>
      </c>
    </row>
    <row r="78" spans="1:22" hidden="1" x14ac:dyDescent="0.3">
      <c r="A78">
        <v>193</v>
      </c>
      <c r="B78" t="s">
        <v>253</v>
      </c>
      <c r="C78" t="s">
        <v>254</v>
      </c>
      <c r="D78" t="s">
        <v>84</v>
      </c>
      <c r="E78" t="s">
        <v>24</v>
      </c>
      <c r="F78" t="s">
        <v>25</v>
      </c>
      <c r="G78" t="s">
        <v>99</v>
      </c>
      <c r="H78" t="s">
        <v>28</v>
      </c>
      <c r="I78" t="s">
        <v>28</v>
      </c>
      <c r="J78" t="s">
        <v>29</v>
      </c>
      <c r="K78" t="s">
        <v>189</v>
      </c>
      <c r="L78" t="s">
        <v>32</v>
      </c>
      <c r="M78" t="s">
        <v>254</v>
      </c>
      <c r="N78" t="s">
        <v>32</v>
      </c>
      <c r="O78" t="s">
        <v>240</v>
      </c>
      <c r="P78" t="s">
        <v>240</v>
      </c>
      <c r="Q78" t="s">
        <v>131</v>
      </c>
      <c r="R78" t="s">
        <v>132</v>
      </c>
      <c r="S78" t="s">
        <v>216</v>
      </c>
      <c r="T78" t="s">
        <v>214</v>
      </c>
      <c r="U78" t="s">
        <v>240</v>
      </c>
      <c r="V78" t="s">
        <v>240</v>
      </c>
    </row>
    <row r="79" spans="1:22" hidden="1" x14ac:dyDescent="0.3">
      <c r="A79">
        <v>194</v>
      </c>
      <c r="B79" t="s">
        <v>255</v>
      </c>
      <c r="C79" t="s">
        <v>256</v>
      </c>
      <c r="D79" t="s">
        <v>84</v>
      </c>
      <c r="E79" t="s">
        <v>24</v>
      </c>
      <c r="F79" t="s">
        <v>25</v>
      </c>
      <c r="G79" t="s">
        <v>99</v>
      </c>
      <c r="H79" t="s">
        <v>28</v>
      </c>
      <c r="I79" t="s">
        <v>28</v>
      </c>
      <c r="J79" t="s">
        <v>29</v>
      </c>
      <c r="K79" t="s">
        <v>189</v>
      </c>
      <c r="L79" t="s">
        <v>32</v>
      </c>
      <c r="M79" t="s">
        <v>256</v>
      </c>
      <c r="N79" t="s">
        <v>32</v>
      </c>
      <c r="O79" t="s">
        <v>240</v>
      </c>
      <c r="P79" t="s">
        <v>240</v>
      </c>
      <c r="Q79" t="s">
        <v>131</v>
      </c>
      <c r="R79" t="s">
        <v>132</v>
      </c>
      <c r="S79" t="s">
        <v>216</v>
      </c>
      <c r="T79" t="s">
        <v>214</v>
      </c>
      <c r="U79" t="s">
        <v>240</v>
      </c>
      <c r="V79" t="s">
        <v>240</v>
      </c>
    </row>
    <row r="80" spans="1:22" hidden="1" x14ac:dyDescent="0.3">
      <c r="A80">
        <v>195</v>
      </c>
      <c r="B80" t="s">
        <v>257</v>
      </c>
      <c r="C80" t="s">
        <v>258</v>
      </c>
      <c r="D80" t="s">
        <v>84</v>
      </c>
      <c r="E80" t="s">
        <v>24</v>
      </c>
      <c r="F80" t="s">
        <v>25</v>
      </c>
      <c r="G80" t="s">
        <v>99</v>
      </c>
      <c r="H80" t="s">
        <v>46</v>
      </c>
      <c r="I80" t="s">
        <v>28</v>
      </c>
      <c r="J80" t="s">
        <v>29</v>
      </c>
      <c r="K80" t="s">
        <v>189</v>
      </c>
      <c r="L80" t="s">
        <v>32</v>
      </c>
      <c r="M80" t="s">
        <v>258</v>
      </c>
      <c r="N80" t="s">
        <v>32</v>
      </c>
      <c r="O80" t="s">
        <v>259</v>
      </c>
      <c r="P80" t="s">
        <v>259</v>
      </c>
      <c r="Q80" t="s">
        <v>223</v>
      </c>
      <c r="R80" t="s">
        <v>224</v>
      </c>
      <c r="S80" t="s">
        <v>216</v>
      </c>
      <c r="T80" t="s">
        <v>214</v>
      </c>
      <c r="U80" t="s">
        <v>240</v>
      </c>
      <c r="V80" t="s">
        <v>240</v>
      </c>
    </row>
    <row r="81" spans="1:22" hidden="1" x14ac:dyDescent="0.3">
      <c r="A81">
        <v>196</v>
      </c>
      <c r="B81" t="s">
        <v>260</v>
      </c>
      <c r="C81" t="s">
        <v>261</v>
      </c>
      <c r="D81" t="s">
        <v>84</v>
      </c>
      <c r="E81" t="s">
        <v>24</v>
      </c>
      <c r="F81" t="s">
        <v>25</v>
      </c>
      <c r="G81" t="s">
        <v>99</v>
      </c>
      <c r="H81" t="s">
        <v>27</v>
      </c>
      <c r="I81" t="s">
        <v>28</v>
      </c>
      <c r="J81" t="s">
        <v>29</v>
      </c>
      <c r="K81" t="s">
        <v>189</v>
      </c>
      <c r="L81" t="s">
        <v>32</v>
      </c>
      <c r="M81" t="s">
        <v>261</v>
      </c>
      <c r="N81" t="s">
        <v>32</v>
      </c>
      <c r="O81" t="s">
        <v>262</v>
      </c>
      <c r="P81" t="s">
        <v>262</v>
      </c>
      <c r="Q81" t="s">
        <v>223</v>
      </c>
      <c r="R81" t="s">
        <v>224</v>
      </c>
      <c r="S81" t="s">
        <v>216</v>
      </c>
      <c r="T81" t="s">
        <v>214</v>
      </c>
      <c r="U81" t="s">
        <v>240</v>
      </c>
      <c r="V81" t="s">
        <v>240</v>
      </c>
    </row>
    <row r="82" spans="1:22" hidden="1" x14ac:dyDescent="0.3">
      <c r="A82">
        <v>223</v>
      </c>
      <c r="B82" t="s">
        <v>263</v>
      </c>
      <c r="C82" t="s">
        <v>263</v>
      </c>
      <c r="D82" t="s">
        <v>123</v>
      </c>
      <c r="E82" t="s">
        <v>24</v>
      </c>
      <c r="F82" t="s">
        <v>25</v>
      </c>
      <c r="G82" t="s">
        <v>264</v>
      </c>
      <c r="H82" t="s">
        <v>28</v>
      </c>
      <c r="I82" t="s">
        <v>28</v>
      </c>
      <c r="J82" t="s">
        <v>29</v>
      </c>
      <c r="K82" t="s">
        <v>265</v>
      </c>
      <c r="L82" t="s">
        <v>32</v>
      </c>
      <c r="M82" t="s">
        <v>266</v>
      </c>
      <c r="N82" t="s">
        <v>32</v>
      </c>
      <c r="O82" t="s">
        <v>267</v>
      </c>
      <c r="P82" t="s">
        <v>267</v>
      </c>
      <c r="Q82" t="s">
        <v>268</v>
      </c>
      <c r="R82" t="s">
        <v>269</v>
      </c>
      <c r="S82" t="s">
        <v>270</v>
      </c>
      <c r="T82" t="s">
        <v>267</v>
      </c>
      <c r="U82" t="s">
        <v>267</v>
      </c>
      <c r="V82" t="s">
        <v>267</v>
      </c>
    </row>
    <row r="83" spans="1:22" hidden="1" x14ac:dyDescent="0.3">
      <c r="A83">
        <v>224</v>
      </c>
      <c r="B83" t="s">
        <v>271</v>
      </c>
      <c r="C83" t="s">
        <v>271</v>
      </c>
      <c r="D83" t="s">
        <v>123</v>
      </c>
      <c r="E83" t="s">
        <v>24</v>
      </c>
      <c r="F83" t="s">
        <v>25</v>
      </c>
      <c r="G83" t="s">
        <v>264</v>
      </c>
      <c r="H83" t="s">
        <v>46</v>
      </c>
      <c r="I83" t="s">
        <v>28</v>
      </c>
      <c r="J83" t="s">
        <v>29</v>
      </c>
      <c r="K83" t="s">
        <v>265</v>
      </c>
      <c r="L83" t="s">
        <v>32</v>
      </c>
      <c r="M83" t="s">
        <v>272</v>
      </c>
      <c r="N83" t="s">
        <v>32</v>
      </c>
      <c r="O83" t="s">
        <v>267</v>
      </c>
      <c r="P83" t="s">
        <v>267</v>
      </c>
      <c r="Q83" t="s">
        <v>273</v>
      </c>
      <c r="R83" t="s">
        <v>274</v>
      </c>
      <c r="S83" t="s">
        <v>270</v>
      </c>
      <c r="T83" t="s">
        <v>267</v>
      </c>
      <c r="U83" t="s">
        <v>267</v>
      </c>
      <c r="V83" t="s">
        <v>267</v>
      </c>
    </row>
    <row r="84" spans="1:22" hidden="1" x14ac:dyDescent="0.3">
      <c r="A84">
        <v>225</v>
      </c>
      <c r="B84" t="s">
        <v>275</v>
      </c>
      <c r="C84" t="s">
        <v>276</v>
      </c>
      <c r="D84" t="s">
        <v>277</v>
      </c>
      <c r="G84" t="s">
        <v>278</v>
      </c>
      <c r="H84" t="s">
        <v>28</v>
      </c>
      <c r="I84" t="s">
        <v>28</v>
      </c>
      <c r="J84" t="s">
        <v>29</v>
      </c>
      <c r="K84" t="s">
        <v>265</v>
      </c>
      <c r="L84" t="s">
        <v>32</v>
      </c>
      <c r="N84" t="s">
        <v>32</v>
      </c>
      <c r="Q84" t="s">
        <v>111</v>
      </c>
      <c r="R84" t="s">
        <v>279</v>
      </c>
      <c r="S84" t="s">
        <v>280</v>
      </c>
    </row>
    <row r="85" spans="1:22" hidden="1" x14ac:dyDescent="0.3">
      <c r="A85">
        <v>226</v>
      </c>
      <c r="B85" t="s">
        <v>281</v>
      </c>
      <c r="C85" t="s">
        <v>282</v>
      </c>
      <c r="D85" t="s">
        <v>277</v>
      </c>
      <c r="G85" t="s">
        <v>278</v>
      </c>
      <c r="H85" t="s">
        <v>28</v>
      </c>
      <c r="I85" t="s">
        <v>28</v>
      </c>
      <c r="J85" t="s">
        <v>29</v>
      </c>
      <c r="K85" t="s">
        <v>265</v>
      </c>
      <c r="L85" t="s">
        <v>32</v>
      </c>
      <c r="M85" t="s">
        <v>283</v>
      </c>
      <c r="N85" t="s">
        <v>32</v>
      </c>
      <c r="O85" t="s">
        <v>267</v>
      </c>
      <c r="P85" t="s">
        <v>267</v>
      </c>
      <c r="Q85" t="s">
        <v>111</v>
      </c>
      <c r="R85" t="s">
        <v>279</v>
      </c>
      <c r="S85" t="s">
        <v>270</v>
      </c>
      <c r="T85" t="s">
        <v>267</v>
      </c>
      <c r="U85" t="s">
        <v>267</v>
      </c>
      <c r="V85" t="s">
        <v>267</v>
      </c>
    </row>
    <row r="86" spans="1:22" hidden="1" x14ac:dyDescent="0.3">
      <c r="A86">
        <v>227</v>
      </c>
      <c r="B86" t="s">
        <v>284</v>
      </c>
      <c r="C86" t="s">
        <v>284</v>
      </c>
      <c r="D86" t="s">
        <v>23</v>
      </c>
      <c r="E86" t="s">
        <v>24</v>
      </c>
      <c r="F86" t="s">
        <v>25</v>
      </c>
      <c r="G86" t="s">
        <v>278</v>
      </c>
      <c r="H86" t="s">
        <v>27</v>
      </c>
      <c r="I86" t="s">
        <v>28</v>
      </c>
      <c r="J86" t="s">
        <v>29</v>
      </c>
      <c r="K86" t="s">
        <v>265</v>
      </c>
      <c r="L86" t="s">
        <v>32</v>
      </c>
      <c r="M86" t="s">
        <v>285</v>
      </c>
      <c r="N86" t="s">
        <v>32</v>
      </c>
      <c r="O86" t="s">
        <v>267</v>
      </c>
      <c r="P86" t="s">
        <v>267</v>
      </c>
      <c r="Q86" t="s">
        <v>34</v>
      </c>
      <c r="R86" t="s">
        <v>35</v>
      </c>
      <c r="S86" t="s">
        <v>270</v>
      </c>
      <c r="T86" t="s">
        <v>267</v>
      </c>
      <c r="U86" t="s">
        <v>267</v>
      </c>
      <c r="V86" t="s">
        <v>267</v>
      </c>
    </row>
    <row r="87" spans="1:22" hidden="1" x14ac:dyDescent="0.3">
      <c r="A87">
        <v>228</v>
      </c>
      <c r="B87" t="s">
        <v>286</v>
      </c>
      <c r="C87" t="s">
        <v>287</v>
      </c>
      <c r="D87" t="s">
        <v>288</v>
      </c>
      <c r="E87" t="s">
        <v>24</v>
      </c>
      <c r="F87" t="s">
        <v>25</v>
      </c>
      <c r="G87" t="s">
        <v>264</v>
      </c>
      <c r="H87" t="s">
        <v>28</v>
      </c>
      <c r="I87" t="s">
        <v>28</v>
      </c>
      <c r="J87" t="s">
        <v>29</v>
      </c>
      <c r="K87" t="s">
        <v>265</v>
      </c>
      <c r="L87" t="s">
        <v>32</v>
      </c>
      <c r="M87" t="s">
        <v>289</v>
      </c>
      <c r="N87" t="s">
        <v>32</v>
      </c>
      <c r="O87" t="s">
        <v>267</v>
      </c>
      <c r="P87" t="s">
        <v>267</v>
      </c>
      <c r="Q87" t="s">
        <v>290</v>
      </c>
      <c r="R87" t="s">
        <v>291</v>
      </c>
      <c r="S87" t="s">
        <v>270</v>
      </c>
      <c r="T87" t="s">
        <v>267</v>
      </c>
      <c r="U87" t="s">
        <v>267</v>
      </c>
      <c r="V87" t="s">
        <v>267</v>
      </c>
    </row>
    <row r="88" spans="1:22" hidden="1" x14ac:dyDescent="0.3">
      <c r="A88">
        <v>229</v>
      </c>
      <c r="B88" t="s">
        <v>292</v>
      </c>
      <c r="C88" t="s">
        <v>292</v>
      </c>
      <c r="D88" t="s">
        <v>23</v>
      </c>
      <c r="E88" t="s">
        <v>24</v>
      </c>
      <c r="F88" t="s">
        <v>25</v>
      </c>
      <c r="G88" t="s">
        <v>278</v>
      </c>
      <c r="H88" t="s">
        <v>27</v>
      </c>
      <c r="I88" t="s">
        <v>28</v>
      </c>
      <c r="J88" t="s">
        <v>29</v>
      </c>
      <c r="K88" t="s">
        <v>265</v>
      </c>
      <c r="L88" t="s">
        <v>32</v>
      </c>
      <c r="M88" t="s">
        <v>293</v>
      </c>
      <c r="N88" t="s">
        <v>32</v>
      </c>
      <c r="O88" t="s">
        <v>294</v>
      </c>
      <c r="P88" t="s">
        <v>294</v>
      </c>
      <c r="Q88" t="s">
        <v>34</v>
      </c>
      <c r="R88" t="s">
        <v>35</v>
      </c>
      <c r="S88" t="s">
        <v>270</v>
      </c>
      <c r="T88" t="s">
        <v>267</v>
      </c>
      <c r="U88" t="s">
        <v>267</v>
      </c>
      <c r="V88" t="s">
        <v>267</v>
      </c>
    </row>
    <row r="89" spans="1:22" hidden="1" x14ac:dyDescent="0.3">
      <c r="A89">
        <v>230</v>
      </c>
      <c r="B89" t="s">
        <v>295</v>
      </c>
      <c r="C89" t="s">
        <v>295</v>
      </c>
      <c r="D89" t="s">
        <v>123</v>
      </c>
      <c r="E89" t="s">
        <v>24</v>
      </c>
      <c r="F89" t="s">
        <v>25</v>
      </c>
      <c r="G89" t="s">
        <v>264</v>
      </c>
      <c r="H89" t="s">
        <v>28</v>
      </c>
      <c r="I89" t="s">
        <v>28</v>
      </c>
      <c r="J89" t="s">
        <v>29</v>
      </c>
      <c r="K89" t="s">
        <v>265</v>
      </c>
      <c r="L89" t="s">
        <v>32</v>
      </c>
      <c r="M89" t="s">
        <v>296</v>
      </c>
      <c r="N89" t="s">
        <v>32</v>
      </c>
      <c r="O89" t="s">
        <v>297</v>
      </c>
      <c r="P89" t="s">
        <v>297</v>
      </c>
      <c r="Q89" t="s">
        <v>298</v>
      </c>
      <c r="R89" t="s">
        <v>299</v>
      </c>
      <c r="S89" t="s">
        <v>270</v>
      </c>
      <c r="T89" t="s">
        <v>267</v>
      </c>
      <c r="U89" t="s">
        <v>267</v>
      </c>
      <c r="V89" t="s">
        <v>267</v>
      </c>
    </row>
    <row r="90" spans="1:22" hidden="1" x14ac:dyDescent="0.3">
      <c r="A90">
        <v>231</v>
      </c>
      <c r="B90" t="s">
        <v>300</v>
      </c>
      <c r="C90" t="s">
        <v>300</v>
      </c>
      <c r="D90" t="s">
        <v>23</v>
      </c>
      <c r="E90" t="s">
        <v>24</v>
      </c>
      <c r="F90" t="s">
        <v>25</v>
      </c>
      <c r="G90" t="s">
        <v>278</v>
      </c>
      <c r="H90" t="s">
        <v>27</v>
      </c>
      <c r="I90" t="s">
        <v>28</v>
      </c>
      <c r="J90" t="s">
        <v>29</v>
      </c>
      <c r="K90" t="s">
        <v>265</v>
      </c>
      <c r="L90" t="s">
        <v>32</v>
      </c>
      <c r="M90" t="s">
        <v>301</v>
      </c>
      <c r="N90" t="s">
        <v>32</v>
      </c>
      <c r="O90" t="s">
        <v>302</v>
      </c>
      <c r="P90" t="s">
        <v>302</v>
      </c>
      <c r="Q90" t="s">
        <v>34</v>
      </c>
      <c r="R90" t="s">
        <v>35</v>
      </c>
      <c r="S90" t="s">
        <v>270</v>
      </c>
      <c r="T90" t="s">
        <v>267</v>
      </c>
      <c r="U90" t="s">
        <v>267</v>
      </c>
      <c r="V90" t="s">
        <v>267</v>
      </c>
    </row>
    <row r="91" spans="1:22" hidden="1" x14ac:dyDescent="0.3">
      <c r="A91">
        <v>232</v>
      </c>
      <c r="B91" t="s">
        <v>303</v>
      </c>
      <c r="C91" t="s">
        <v>303</v>
      </c>
      <c r="D91" t="s">
        <v>23</v>
      </c>
      <c r="E91" t="s">
        <v>24</v>
      </c>
      <c r="F91" t="s">
        <v>25</v>
      </c>
      <c r="G91" t="s">
        <v>278</v>
      </c>
      <c r="H91" t="s">
        <v>27</v>
      </c>
      <c r="I91" t="s">
        <v>28</v>
      </c>
      <c r="J91" t="s">
        <v>29</v>
      </c>
      <c r="K91" t="s">
        <v>265</v>
      </c>
      <c r="L91" t="s">
        <v>32</v>
      </c>
      <c r="M91" t="s">
        <v>304</v>
      </c>
      <c r="N91" t="s">
        <v>32</v>
      </c>
      <c r="O91" t="s">
        <v>305</v>
      </c>
      <c r="P91" t="s">
        <v>305</v>
      </c>
      <c r="Q91" t="s">
        <v>34</v>
      </c>
      <c r="R91" t="s">
        <v>35</v>
      </c>
      <c r="S91" t="s">
        <v>270</v>
      </c>
      <c r="T91" t="s">
        <v>267</v>
      </c>
      <c r="U91" t="s">
        <v>267</v>
      </c>
      <c r="V91" t="s">
        <v>267</v>
      </c>
    </row>
    <row r="92" spans="1:22" hidden="1" x14ac:dyDescent="0.3">
      <c r="A92">
        <v>233</v>
      </c>
      <c r="B92" t="s">
        <v>306</v>
      </c>
      <c r="C92" t="s">
        <v>306</v>
      </c>
      <c r="D92" t="s">
        <v>23</v>
      </c>
      <c r="E92" t="s">
        <v>24</v>
      </c>
      <c r="F92" t="s">
        <v>25</v>
      </c>
      <c r="G92" t="s">
        <v>278</v>
      </c>
      <c r="H92" t="s">
        <v>27</v>
      </c>
      <c r="I92" t="s">
        <v>28</v>
      </c>
      <c r="J92" t="s">
        <v>29</v>
      </c>
      <c r="K92" t="s">
        <v>189</v>
      </c>
      <c r="L92" t="s">
        <v>32</v>
      </c>
      <c r="M92" t="s">
        <v>306</v>
      </c>
      <c r="N92" t="s">
        <v>32</v>
      </c>
      <c r="O92" t="s">
        <v>307</v>
      </c>
      <c r="P92" t="s">
        <v>307</v>
      </c>
      <c r="Q92" t="s">
        <v>34</v>
      </c>
      <c r="R92" t="s">
        <v>35</v>
      </c>
      <c r="S92" t="s">
        <v>308</v>
      </c>
      <c r="T92" t="s">
        <v>307</v>
      </c>
      <c r="U92" t="s">
        <v>307</v>
      </c>
      <c r="V92" t="s">
        <v>307</v>
      </c>
    </row>
    <row r="93" spans="1:22" hidden="1" x14ac:dyDescent="0.3">
      <c r="A93">
        <v>234</v>
      </c>
      <c r="B93" t="s">
        <v>309</v>
      </c>
      <c r="C93" t="s">
        <v>309</v>
      </c>
      <c r="D93" t="s">
        <v>23</v>
      </c>
      <c r="E93" t="s">
        <v>24</v>
      </c>
      <c r="F93" t="s">
        <v>25</v>
      </c>
      <c r="G93" t="s">
        <v>278</v>
      </c>
      <c r="H93" t="s">
        <v>27</v>
      </c>
      <c r="I93" t="s">
        <v>28</v>
      </c>
      <c r="J93" t="s">
        <v>29</v>
      </c>
      <c r="K93" t="s">
        <v>189</v>
      </c>
      <c r="L93" t="s">
        <v>32</v>
      </c>
      <c r="M93" t="s">
        <v>309</v>
      </c>
      <c r="N93" t="s">
        <v>32</v>
      </c>
      <c r="O93" t="s">
        <v>307</v>
      </c>
      <c r="P93" t="s">
        <v>307</v>
      </c>
      <c r="Q93" t="s">
        <v>34</v>
      </c>
      <c r="R93" t="s">
        <v>35</v>
      </c>
      <c r="S93" t="s">
        <v>308</v>
      </c>
      <c r="T93" t="s">
        <v>307</v>
      </c>
      <c r="U93" t="s">
        <v>307</v>
      </c>
      <c r="V93" t="s">
        <v>307</v>
      </c>
    </row>
    <row r="94" spans="1:22" hidden="1" x14ac:dyDescent="0.3">
      <c r="A94">
        <v>235</v>
      </c>
      <c r="B94" t="s">
        <v>310</v>
      </c>
      <c r="C94" t="s">
        <v>310</v>
      </c>
      <c r="D94" t="s">
        <v>123</v>
      </c>
      <c r="E94" t="s">
        <v>24</v>
      </c>
      <c r="F94" t="s">
        <v>25</v>
      </c>
      <c r="G94" t="s">
        <v>264</v>
      </c>
      <c r="H94" t="s">
        <v>28</v>
      </c>
      <c r="I94" t="s">
        <v>28</v>
      </c>
      <c r="J94" t="s">
        <v>29</v>
      </c>
      <c r="K94" t="s">
        <v>189</v>
      </c>
      <c r="L94" t="s">
        <v>32</v>
      </c>
      <c r="M94" t="s">
        <v>310</v>
      </c>
      <c r="N94" t="s">
        <v>32</v>
      </c>
      <c r="O94" t="s">
        <v>311</v>
      </c>
      <c r="P94" t="s">
        <v>311</v>
      </c>
      <c r="Q94" t="s">
        <v>298</v>
      </c>
      <c r="R94" t="s">
        <v>299</v>
      </c>
      <c r="S94" t="s">
        <v>308</v>
      </c>
      <c r="T94" t="s">
        <v>307</v>
      </c>
      <c r="U94" t="s">
        <v>307</v>
      </c>
      <c r="V94" t="s">
        <v>307</v>
      </c>
    </row>
    <row r="95" spans="1:22" hidden="1" x14ac:dyDescent="0.3">
      <c r="A95">
        <v>242</v>
      </c>
      <c r="B95" t="s">
        <v>312</v>
      </c>
      <c r="C95" t="s">
        <v>313</v>
      </c>
      <c r="D95" t="s">
        <v>110</v>
      </c>
      <c r="E95" t="s">
        <v>110</v>
      </c>
      <c r="F95" t="s">
        <v>110</v>
      </c>
      <c r="G95" t="s">
        <v>52</v>
      </c>
      <c r="H95" t="s">
        <v>67</v>
      </c>
      <c r="I95" t="s">
        <v>28</v>
      </c>
      <c r="J95" t="s">
        <v>29</v>
      </c>
      <c r="K95" t="s">
        <v>314</v>
      </c>
      <c r="L95" t="s">
        <v>32</v>
      </c>
      <c r="M95" t="s">
        <v>313</v>
      </c>
      <c r="N95" t="s">
        <v>32</v>
      </c>
      <c r="O95" t="s">
        <v>315</v>
      </c>
      <c r="P95" t="s">
        <v>315</v>
      </c>
      <c r="Q95" t="s">
        <v>111</v>
      </c>
      <c r="R95" t="s">
        <v>112</v>
      </c>
      <c r="S95" t="s">
        <v>316</v>
      </c>
      <c r="T95" t="s">
        <v>315</v>
      </c>
      <c r="U95" t="s">
        <v>315</v>
      </c>
      <c r="V95" t="s">
        <v>315</v>
      </c>
    </row>
    <row r="96" spans="1:22" hidden="1" x14ac:dyDescent="0.3">
      <c r="A96">
        <v>243</v>
      </c>
      <c r="B96" t="s">
        <v>317</v>
      </c>
      <c r="C96" t="s">
        <v>318</v>
      </c>
      <c r="D96" t="s">
        <v>110</v>
      </c>
      <c r="E96" t="s">
        <v>110</v>
      </c>
      <c r="F96" t="s">
        <v>110</v>
      </c>
      <c r="G96" t="s">
        <v>52</v>
      </c>
      <c r="H96" t="s">
        <v>67</v>
      </c>
      <c r="I96" t="s">
        <v>28</v>
      </c>
      <c r="J96" t="s">
        <v>29</v>
      </c>
      <c r="K96" t="s">
        <v>314</v>
      </c>
      <c r="L96" t="s">
        <v>32</v>
      </c>
      <c r="M96" t="s">
        <v>318</v>
      </c>
      <c r="N96" t="s">
        <v>32</v>
      </c>
      <c r="O96" t="s">
        <v>315</v>
      </c>
      <c r="P96" t="s">
        <v>315</v>
      </c>
      <c r="Q96" t="s">
        <v>111</v>
      </c>
      <c r="R96" t="s">
        <v>112</v>
      </c>
      <c r="S96" t="s">
        <v>316</v>
      </c>
      <c r="T96" t="s">
        <v>315</v>
      </c>
      <c r="U96" t="s">
        <v>315</v>
      </c>
      <c r="V96" t="s">
        <v>315</v>
      </c>
    </row>
    <row r="97" spans="1:22" hidden="1" x14ac:dyDescent="0.3">
      <c r="A97">
        <v>244</v>
      </c>
      <c r="B97" t="s">
        <v>319</v>
      </c>
      <c r="C97" t="s">
        <v>320</v>
      </c>
      <c r="D97" t="s">
        <v>110</v>
      </c>
      <c r="E97" t="s">
        <v>110</v>
      </c>
      <c r="F97" t="s">
        <v>110</v>
      </c>
      <c r="G97" t="s">
        <v>52</v>
      </c>
      <c r="H97" t="s">
        <v>67</v>
      </c>
      <c r="I97" t="s">
        <v>28</v>
      </c>
      <c r="J97" t="s">
        <v>29</v>
      </c>
      <c r="K97" t="s">
        <v>314</v>
      </c>
      <c r="L97" t="s">
        <v>32</v>
      </c>
      <c r="M97" t="s">
        <v>320</v>
      </c>
      <c r="N97" t="s">
        <v>32</v>
      </c>
      <c r="O97" t="s">
        <v>315</v>
      </c>
      <c r="P97" t="s">
        <v>315</v>
      </c>
      <c r="Q97" t="s">
        <v>111</v>
      </c>
      <c r="R97" t="s">
        <v>112</v>
      </c>
      <c r="S97" t="s">
        <v>316</v>
      </c>
      <c r="T97" t="s">
        <v>315</v>
      </c>
      <c r="U97" t="s">
        <v>315</v>
      </c>
      <c r="V97" t="s">
        <v>315</v>
      </c>
    </row>
    <row r="98" spans="1:22" hidden="1" x14ac:dyDescent="0.3">
      <c r="A98">
        <v>245</v>
      </c>
      <c r="B98" t="s">
        <v>321</v>
      </c>
      <c r="C98" t="s">
        <v>322</v>
      </c>
      <c r="D98" t="s">
        <v>110</v>
      </c>
      <c r="E98" t="s">
        <v>110</v>
      </c>
      <c r="F98" t="s">
        <v>110</v>
      </c>
      <c r="G98" t="s">
        <v>52</v>
      </c>
      <c r="H98" t="s">
        <v>67</v>
      </c>
      <c r="I98" t="s">
        <v>28</v>
      </c>
      <c r="J98" t="s">
        <v>29</v>
      </c>
      <c r="K98" t="s">
        <v>314</v>
      </c>
      <c r="L98" t="s">
        <v>32</v>
      </c>
      <c r="M98" t="s">
        <v>322</v>
      </c>
      <c r="N98" t="s">
        <v>32</v>
      </c>
      <c r="O98" t="s">
        <v>315</v>
      </c>
      <c r="P98" t="s">
        <v>315</v>
      </c>
      <c r="Q98" t="s">
        <v>111</v>
      </c>
      <c r="R98" t="s">
        <v>112</v>
      </c>
      <c r="S98" t="s">
        <v>316</v>
      </c>
      <c r="T98" t="s">
        <v>315</v>
      </c>
      <c r="U98" t="s">
        <v>315</v>
      </c>
      <c r="V98" t="s">
        <v>315</v>
      </c>
    </row>
    <row r="99" spans="1:22" hidden="1" x14ac:dyDescent="0.3">
      <c r="A99">
        <v>246</v>
      </c>
      <c r="B99" t="s">
        <v>323</v>
      </c>
      <c r="C99" t="s">
        <v>324</v>
      </c>
      <c r="D99" t="s">
        <v>325</v>
      </c>
      <c r="E99" t="s">
        <v>326</v>
      </c>
      <c r="F99" t="s">
        <v>327</v>
      </c>
      <c r="G99" t="s">
        <v>45</v>
      </c>
      <c r="H99" t="s">
        <v>46</v>
      </c>
      <c r="I99" t="s">
        <v>28</v>
      </c>
      <c r="J99" t="s">
        <v>29</v>
      </c>
      <c r="K99" t="s">
        <v>314</v>
      </c>
      <c r="L99" t="s">
        <v>32</v>
      </c>
      <c r="M99" t="s">
        <v>324</v>
      </c>
      <c r="N99" t="s">
        <v>32</v>
      </c>
      <c r="O99" t="s">
        <v>315</v>
      </c>
      <c r="P99" t="s">
        <v>315</v>
      </c>
      <c r="Q99" t="s">
        <v>328</v>
      </c>
      <c r="R99" t="s">
        <v>329</v>
      </c>
      <c r="S99" t="s">
        <v>316</v>
      </c>
      <c r="T99" t="s">
        <v>315</v>
      </c>
      <c r="U99" t="s">
        <v>315</v>
      </c>
      <c r="V99" t="s">
        <v>315</v>
      </c>
    </row>
    <row r="100" spans="1:22" hidden="1" x14ac:dyDescent="0.3">
      <c r="A100">
        <v>247</v>
      </c>
      <c r="B100" t="s">
        <v>330</v>
      </c>
      <c r="C100" t="s">
        <v>331</v>
      </c>
      <c r="D100" t="s">
        <v>325</v>
      </c>
      <c r="E100" t="s">
        <v>326</v>
      </c>
      <c r="F100" t="s">
        <v>327</v>
      </c>
      <c r="G100" t="s">
        <v>45</v>
      </c>
      <c r="H100" t="s">
        <v>46</v>
      </c>
      <c r="I100" t="s">
        <v>28</v>
      </c>
      <c r="J100" t="s">
        <v>29</v>
      </c>
      <c r="K100" t="s">
        <v>314</v>
      </c>
      <c r="L100" t="s">
        <v>32</v>
      </c>
      <c r="M100" t="s">
        <v>331</v>
      </c>
      <c r="N100" t="s">
        <v>32</v>
      </c>
      <c r="O100" t="s">
        <v>315</v>
      </c>
      <c r="P100" t="s">
        <v>315</v>
      </c>
      <c r="Q100" t="s">
        <v>328</v>
      </c>
      <c r="R100" t="s">
        <v>329</v>
      </c>
      <c r="S100" t="s">
        <v>316</v>
      </c>
      <c r="T100" t="s">
        <v>315</v>
      </c>
      <c r="U100" t="s">
        <v>315</v>
      </c>
      <c r="V100" t="s">
        <v>315</v>
      </c>
    </row>
    <row r="101" spans="1:22" hidden="1" x14ac:dyDescent="0.3">
      <c r="A101">
        <v>248</v>
      </c>
      <c r="B101" t="s">
        <v>332</v>
      </c>
      <c r="C101" t="s">
        <v>333</v>
      </c>
      <c r="D101" t="s">
        <v>334</v>
      </c>
      <c r="E101" t="s">
        <v>326</v>
      </c>
      <c r="F101" t="s">
        <v>335</v>
      </c>
      <c r="G101" t="s">
        <v>52</v>
      </c>
      <c r="H101" t="s">
        <v>27</v>
      </c>
      <c r="I101" t="s">
        <v>28</v>
      </c>
      <c r="J101" t="s">
        <v>29</v>
      </c>
      <c r="K101" t="s">
        <v>314</v>
      </c>
      <c r="L101" t="s">
        <v>32</v>
      </c>
      <c r="M101" t="s">
        <v>333</v>
      </c>
      <c r="N101" t="s">
        <v>32</v>
      </c>
      <c r="O101" t="s">
        <v>315</v>
      </c>
      <c r="P101" t="s">
        <v>315</v>
      </c>
      <c r="Q101" t="s">
        <v>328</v>
      </c>
      <c r="R101" t="s">
        <v>329</v>
      </c>
      <c r="S101" t="s">
        <v>316</v>
      </c>
      <c r="T101" t="s">
        <v>315</v>
      </c>
      <c r="U101" t="s">
        <v>315</v>
      </c>
      <c r="V101" t="s">
        <v>315</v>
      </c>
    </row>
    <row r="102" spans="1:22" hidden="1" x14ac:dyDescent="0.3">
      <c r="A102">
        <v>249</v>
      </c>
      <c r="B102" t="s">
        <v>336</v>
      </c>
      <c r="C102" t="s">
        <v>337</v>
      </c>
      <c r="D102" t="s">
        <v>338</v>
      </c>
      <c r="E102" t="s">
        <v>326</v>
      </c>
      <c r="F102" t="s">
        <v>339</v>
      </c>
      <c r="G102" t="s">
        <v>52</v>
      </c>
      <c r="H102" t="s">
        <v>28</v>
      </c>
      <c r="I102" t="s">
        <v>28</v>
      </c>
      <c r="J102" t="s">
        <v>29</v>
      </c>
      <c r="K102" t="s">
        <v>314</v>
      </c>
      <c r="L102" t="s">
        <v>32</v>
      </c>
      <c r="M102" t="s">
        <v>337</v>
      </c>
      <c r="N102" t="s">
        <v>32</v>
      </c>
      <c r="O102" t="s">
        <v>340</v>
      </c>
      <c r="P102" t="s">
        <v>340</v>
      </c>
      <c r="Q102" t="s">
        <v>328</v>
      </c>
      <c r="R102" t="s">
        <v>329</v>
      </c>
      <c r="S102" t="s">
        <v>316</v>
      </c>
      <c r="T102" t="s">
        <v>315</v>
      </c>
      <c r="U102" t="s">
        <v>315</v>
      </c>
      <c r="V102" t="s">
        <v>315</v>
      </c>
    </row>
    <row r="103" spans="1:22" hidden="1" x14ac:dyDescent="0.3">
      <c r="A103">
        <v>250</v>
      </c>
      <c r="B103" t="s">
        <v>341</v>
      </c>
      <c r="C103" t="s">
        <v>342</v>
      </c>
      <c r="D103" t="s">
        <v>334</v>
      </c>
      <c r="E103" t="s">
        <v>326</v>
      </c>
      <c r="F103" t="s">
        <v>335</v>
      </c>
      <c r="G103" t="s">
        <v>343</v>
      </c>
      <c r="H103" t="s">
        <v>46</v>
      </c>
      <c r="I103" t="s">
        <v>28</v>
      </c>
      <c r="J103" t="s">
        <v>29</v>
      </c>
      <c r="K103" t="s">
        <v>314</v>
      </c>
      <c r="L103" t="s">
        <v>32</v>
      </c>
      <c r="M103" t="s">
        <v>342</v>
      </c>
      <c r="N103" t="s">
        <v>32</v>
      </c>
      <c r="O103" t="s">
        <v>344</v>
      </c>
      <c r="P103" t="s">
        <v>344</v>
      </c>
      <c r="Q103" t="s">
        <v>328</v>
      </c>
      <c r="R103" t="s">
        <v>329</v>
      </c>
      <c r="S103" t="s">
        <v>316</v>
      </c>
      <c r="T103" t="s">
        <v>315</v>
      </c>
      <c r="U103" t="s">
        <v>315</v>
      </c>
      <c r="V103" t="s">
        <v>315</v>
      </c>
    </row>
    <row r="104" spans="1:22" hidden="1" x14ac:dyDescent="0.3">
      <c r="A104">
        <v>251</v>
      </c>
      <c r="B104" t="s">
        <v>341</v>
      </c>
      <c r="C104" t="s">
        <v>345</v>
      </c>
      <c r="D104" t="s">
        <v>338</v>
      </c>
      <c r="E104" t="s">
        <v>326</v>
      </c>
      <c r="F104" t="s">
        <v>339</v>
      </c>
      <c r="G104" t="s">
        <v>52</v>
      </c>
      <c r="H104" t="s">
        <v>46</v>
      </c>
      <c r="I104" t="s">
        <v>28</v>
      </c>
      <c r="J104" t="s">
        <v>29</v>
      </c>
      <c r="K104" t="s">
        <v>314</v>
      </c>
      <c r="L104" t="s">
        <v>32</v>
      </c>
      <c r="M104" t="s">
        <v>345</v>
      </c>
      <c r="N104" t="s">
        <v>32</v>
      </c>
      <c r="O104" t="s">
        <v>346</v>
      </c>
      <c r="P104" t="s">
        <v>346</v>
      </c>
      <c r="Q104" t="s">
        <v>328</v>
      </c>
      <c r="R104" t="s">
        <v>329</v>
      </c>
      <c r="S104" t="s">
        <v>316</v>
      </c>
      <c r="T104" t="s">
        <v>315</v>
      </c>
      <c r="U104" t="s">
        <v>315</v>
      </c>
      <c r="V104" t="s">
        <v>315</v>
      </c>
    </row>
    <row r="105" spans="1:22" x14ac:dyDescent="0.3">
      <c r="A105">
        <v>255</v>
      </c>
      <c r="B105" t="s">
        <v>347</v>
      </c>
      <c r="C105" t="s">
        <v>347</v>
      </c>
      <c r="D105" t="s">
        <v>348</v>
      </c>
      <c r="E105" t="s">
        <v>326</v>
      </c>
      <c r="F105" t="s">
        <v>339</v>
      </c>
      <c r="G105" t="s">
        <v>349</v>
      </c>
      <c r="H105" t="s">
        <v>28</v>
      </c>
      <c r="I105" t="s">
        <v>28</v>
      </c>
      <c r="J105" t="s">
        <v>29</v>
      </c>
      <c r="K105" t="s">
        <v>314</v>
      </c>
      <c r="L105" t="s">
        <v>32</v>
      </c>
      <c r="M105" t="s">
        <v>347</v>
      </c>
      <c r="N105" t="s">
        <v>32</v>
      </c>
      <c r="O105" t="s">
        <v>350</v>
      </c>
      <c r="P105" t="s">
        <v>350</v>
      </c>
      <c r="Q105" t="s">
        <v>351</v>
      </c>
      <c r="R105" t="s">
        <v>351</v>
      </c>
      <c r="S105" t="s">
        <v>352</v>
      </c>
      <c r="T105" t="s">
        <v>350</v>
      </c>
      <c r="U105" t="s">
        <v>350</v>
      </c>
      <c r="V105" t="s">
        <v>350</v>
      </c>
    </row>
    <row r="106" spans="1:22" x14ac:dyDescent="0.3">
      <c r="A106">
        <v>256</v>
      </c>
      <c r="B106" t="s">
        <v>353</v>
      </c>
      <c r="C106" t="s">
        <v>353</v>
      </c>
      <c r="D106" t="s">
        <v>348</v>
      </c>
      <c r="E106" t="s">
        <v>326</v>
      </c>
      <c r="F106" t="s">
        <v>339</v>
      </c>
      <c r="G106" t="s">
        <v>354</v>
      </c>
      <c r="H106" t="s">
        <v>28</v>
      </c>
      <c r="I106" t="s">
        <v>28</v>
      </c>
      <c r="J106" t="s">
        <v>29</v>
      </c>
      <c r="K106" t="s">
        <v>314</v>
      </c>
      <c r="L106" t="s">
        <v>32</v>
      </c>
      <c r="M106" t="s">
        <v>353</v>
      </c>
      <c r="N106" t="s">
        <v>32</v>
      </c>
      <c r="O106" t="s">
        <v>350</v>
      </c>
      <c r="P106" t="s">
        <v>350</v>
      </c>
      <c r="Q106" t="s">
        <v>351</v>
      </c>
      <c r="R106" t="s">
        <v>351</v>
      </c>
      <c r="S106" t="s">
        <v>352</v>
      </c>
      <c r="T106" t="s">
        <v>350</v>
      </c>
      <c r="U106" t="s">
        <v>350</v>
      </c>
      <c r="V106" t="s">
        <v>350</v>
      </c>
    </row>
    <row r="107" spans="1:22" x14ac:dyDescent="0.3">
      <c r="A107">
        <v>257</v>
      </c>
      <c r="B107" t="s">
        <v>355</v>
      </c>
      <c r="C107" t="s">
        <v>355</v>
      </c>
      <c r="D107" t="s">
        <v>348</v>
      </c>
      <c r="E107" t="s">
        <v>326</v>
      </c>
      <c r="F107" t="s">
        <v>335</v>
      </c>
      <c r="G107" t="s">
        <v>349</v>
      </c>
      <c r="H107" t="s">
        <v>28</v>
      </c>
      <c r="I107" t="s">
        <v>28</v>
      </c>
      <c r="J107" t="s">
        <v>29</v>
      </c>
      <c r="K107" t="s">
        <v>314</v>
      </c>
      <c r="L107" t="s">
        <v>32</v>
      </c>
      <c r="M107" t="s">
        <v>355</v>
      </c>
      <c r="N107" t="s">
        <v>32</v>
      </c>
      <c r="P107" t="s">
        <v>350</v>
      </c>
      <c r="Q107" t="s">
        <v>351</v>
      </c>
      <c r="R107" t="s">
        <v>351</v>
      </c>
      <c r="S107" t="s">
        <v>352</v>
      </c>
      <c r="T107" t="s">
        <v>350</v>
      </c>
      <c r="U107" t="s">
        <v>350</v>
      </c>
      <c r="V107" t="s">
        <v>350</v>
      </c>
    </row>
    <row r="108" spans="1:22" x14ac:dyDescent="0.3">
      <c r="A108">
        <v>258</v>
      </c>
      <c r="B108" t="s">
        <v>356</v>
      </c>
      <c r="C108" t="s">
        <v>356</v>
      </c>
      <c r="D108" t="s">
        <v>348</v>
      </c>
      <c r="E108" t="s">
        <v>326</v>
      </c>
      <c r="F108" t="s">
        <v>335</v>
      </c>
      <c r="G108" t="s">
        <v>354</v>
      </c>
      <c r="H108" t="s">
        <v>28</v>
      </c>
      <c r="I108" t="s">
        <v>28</v>
      </c>
      <c r="J108" t="s">
        <v>29</v>
      </c>
      <c r="K108" t="s">
        <v>314</v>
      </c>
      <c r="L108" t="s">
        <v>32</v>
      </c>
      <c r="M108" t="s">
        <v>356</v>
      </c>
      <c r="N108" t="s">
        <v>32</v>
      </c>
      <c r="P108" t="s">
        <v>350</v>
      </c>
      <c r="Q108" t="s">
        <v>351</v>
      </c>
      <c r="R108" t="s">
        <v>351</v>
      </c>
      <c r="S108" t="s">
        <v>352</v>
      </c>
      <c r="T108" t="s">
        <v>350</v>
      </c>
      <c r="U108" t="s">
        <v>350</v>
      </c>
      <c r="V108" t="s">
        <v>350</v>
      </c>
    </row>
    <row r="109" spans="1:22" x14ac:dyDescent="0.3">
      <c r="A109">
        <v>259</v>
      </c>
      <c r="B109" t="s">
        <v>357</v>
      </c>
      <c r="C109" t="s">
        <v>357</v>
      </c>
      <c r="D109" t="s">
        <v>358</v>
      </c>
      <c r="E109" t="s">
        <v>326</v>
      </c>
      <c r="F109" t="s">
        <v>359</v>
      </c>
      <c r="G109" t="s">
        <v>99</v>
      </c>
      <c r="H109" t="s">
        <v>28</v>
      </c>
      <c r="I109" t="s">
        <v>28</v>
      </c>
      <c r="J109" t="s">
        <v>29</v>
      </c>
      <c r="K109" t="s">
        <v>314</v>
      </c>
      <c r="L109" t="s">
        <v>32</v>
      </c>
      <c r="M109" t="s">
        <v>357</v>
      </c>
      <c r="N109" t="s">
        <v>32</v>
      </c>
      <c r="O109" t="s">
        <v>350</v>
      </c>
      <c r="P109" t="s">
        <v>350</v>
      </c>
      <c r="Q109" t="s">
        <v>360</v>
      </c>
      <c r="R109" t="s">
        <v>361</v>
      </c>
      <c r="S109" t="s">
        <v>352</v>
      </c>
      <c r="T109" t="s">
        <v>350</v>
      </c>
      <c r="U109" t="s">
        <v>350</v>
      </c>
      <c r="V109" t="s">
        <v>350</v>
      </c>
    </row>
    <row r="110" spans="1:22" x14ac:dyDescent="0.3">
      <c r="A110">
        <v>260</v>
      </c>
      <c r="B110" t="s">
        <v>362</v>
      </c>
      <c r="C110" t="s">
        <v>363</v>
      </c>
      <c r="D110" t="s">
        <v>334</v>
      </c>
      <c r="E110" t="s">
        <v>326</v>
      </c>
      <c r="F110" t="s">
        <v>335</v>
      </c>
      <c r="G110" t="s">
        <v>45</v>
      </c>
      <c r="H110" t="s">
        <v>46</v>
      </c>
      <c r="I110" t="s">
        <v>28</v>
      </c>
      <c r="J110" t="s">
        <v>29</v>
      </c>
      <c r="K110" t="s">
        <v>314</v>
      </c>
      <c r="L110" t="s">
        <v>32</v>
      </c>
      <c r="M110" t="s">
        <v>363</v>
      </c>
      <c r="N110" t="s">
        <v>32</v>
      </c>
      <c r="O110" t="s">
        <v>350</v>
      </c>
      <c r="P110" t="s">
        <v>350</v>
      </c>
      <c r="Q110" t="s">
        <v>328</v>
      </c>
      <c r="R110" t="s">
        <v>329</v>
      </c>
      <c r="S110" t="s">
        <v>352</v>
      </c>
      <c r="T110" t="s">
        <v>350</v>
      </c>
      <c r="U110" t="s">
        <v>350</v>
      </c>
      <c r="V110" t="s">
        <v>350</v>
      </c>
    </row>
    <row r="111" spans="1:22" x14ac:dyDescent="0.3">
      <c r="A111">
        <v>261</v>
      </c>
      <c r="B111" t="s">
        <v>364</v>
      </c>
      <c r="C111" t="s">
        <v>365</v>
      </c>
      <c r="D111" t="s">
        <v>334</v>
      </c>
      <c r="E111" t="s">
        <v>326</v>
      </c>
      <c r="F111" t="s">
        <v>335</v>
      </c>
      <c r="G111" t="s">
        <v>99</v>
      </c>
      <c r="H111" t="s">
        <v>46</v>
      </c>
      <c r="I111" t="s">
        <v>28</v>
      </c>
      <c r="J111" t="s">
        <v>29</v>
      </c>
      <c r="K111" t="s">
        <v>314</v>
      </c>
      <c r="L111" t="s">
        <v>32</v>
      </c>
      <c r="M111" t="s">
        <v>365</v>
      </c>
      <c r="N111" t="s">
        <v>32</v>
      </c>
      <c r="O111" t="s">
        <v>350</v>
      </c>
      <c r="P111" t="s">
        <v>350</v>
      </c>
      <c r="Q111" t="s">
        <v>328</v>
      </c>
      <c r="R111" t="s">
        <v>329</v>
      </c>
      <c r="S111" t="s">
        <v>352</v>
      </c>
      <c r="T111" t="s">
        <v>350</v>
      </c>
      <c r="U111" t="s">
        <v>350</v>
      </c>
      <c r="V111" t="s">
        <v>350</v>
      </c>
    </row>
    <row r="112" spans="1:22" x14ac:dyDescent="0.3">
      <c r="A112">
        <v>262</v>
      </c>
      <c r="B112" t="s">
        <v>366</v>
      </c>
      <c r="C112" t="s">
        <v>366</v>
      </c>
      <c r="D112" t="s">
        <v>348</v>
      </c>
      <c r="E112" t="s">
        <v>326</v>
      </c>
      <c r="F112" t="s">
        <v>339</v>
      </c>
      <c r="G112" t="s">
        <v>26</v>
      </c>
      <c r="H112" t="s">
        <v>28</v>
      </c>
      <c r="I112" t="s">
        <v>28</v>
      </c>
      <c r="J112" t="s">
        <v>29</v>
      </c>
      <c r="K112" t="s">
        <v>314</v>
      </c>
      <c r="L112" t="s">
        <v>32</v>
      </c>
      <c r="M112" t="s">
        <v>366</v>
      </c>
      <c r="N112" t="s">
        <v>32</v>
      </c>
      <c r="O112" t="s">
        <v>367</v>
      </c>
      <c r="P112" t="s">
        <v>367</v>
      </c>
      <c r="Q112" t="s">
        <v>351</v>
      </c>
      <c r="R112" t="s">
        <v>351</v>
      </c>
      <c r="S112" t="s">
        <v>352</v>
      </c>
      <c r="T112" t="s">
        <v>350</v>
      </c>
      <c r="U112" t="s">
        <v>367</v>
      </c>
      <c r="V112" t="s">
        <v>367</v>
      </c>
    </row>
    <row r="113" spans="1:22" x14ac:dyDescent="0.3">
      <c r="A113">
        <v>263</v>
      </c>
      <c r="B113" t="s">
        <v>368</v>
      </c>
      <c r="C113" t="s">
        <v>368</v>
      </c>
      <c r="D113" t="s">
        <v>348</v>
      </c>
      <c r="E113" t="s">
        <v>326</v>
      </c>
      <c r="F113" t="s">
        <v>335</v>
      </c>
      <c r="G113" t="s">
        <v>26</v>
      </c>
      <c r="H113" t="s">
        <v>28</v>
      </c>
      <c r="I113" t="s">
        <v>28</v>
      </c>
      <c r="J113" t="s">
        <v>29</v>
      </c>
      <c r="K113" t="s">
        <v>314</v>
      </c>
      <c r="L113" t="s">
        <v>32</v>
      </c>
      <c r="M113" t="s">
        <v>368</v>
      </c>
      <c r="N113" t="s">
        <v>32</v>
      </c>
      <c r="P113" t="s">
        <v>367</v>
      </c>
      <c r="Q113" t="s">
        <v>351</v>
      </c>
      <c r="R113" t="s">
        <v>351</v>
      </c>
      <c r="S113" t="s">
        <v>352</v>
      </c>
      <c r="T113" t="s">
        <v>350</v>
      </c>
      <c r="U113" t="s">
        <v>367</v>
      </c>
      <c r="V113" t="s">
        <v>367</v>
      </c>
    </row>
    <row r="114" spans="1:22" x14ac:dyDescent="0.3">
      <c r="A114">
        <v>264</v>
      </c>
      <c r="B114" t="s">
        <v>369</v>
      </c>
      <c r="C114" t="s">
        <v>370</v>
      </c>
      <c r="D114" t="s">
        <v>371</v>
      </c>
      <c r="E114" t="s">
        <v>326</v>
      </c>
      <c r="F114" t="s">
        <v>372</v>
      </c>
      <c r="G114" t="s">
        <v>99</v>
      </c>
      <c r="H114" t="s">
        <v>27</v>
      </c>
      <c r="I114" t="s">
        <v>28</v>
      </c>
      <c r="J114" t="s">
        <v>29</v>
      </c>
      <c r="K114" t="s">
        <v>314</v>
      </c>
      <c r="L114" t="s">
        <v>32</v>
      </c>
      <c r="M114" t="s">
        <v>370</v>
      </c>
      <c r="N114" t="s">
        <v>32</v>
      </c>
      <c r="O114" t="s">
        <v>367</v>
      </c>
      <c r="P114" t="s">
        <v>367</v>
      </c>
      <c r="Q114" t="s">
        <v>328</v>
      </c>
      <c r="R114" t="s">
        <v>329</v>
      </c>
      <c r="S114" t="s">
        <v>352</v>
      </c>
      <c r="T114" t="s">
        <v>350</v>
      </c>
      <c r="U114" t="s">
        <v>367</v>
      </c>
      <c r="V114" t="s">
        <v>367</v>
      </c>
    </row>
    <row r="115" spans="1:22" x14ac:dyDescent="0.3">
      <c r="A115">
        <v>265</v>
      </c>
      <c r="B115" t="s">
        <v>373</v>
      </c>
      <c r="C115" t="s">
        <v>374</v>
      </c>
      <c r="D115" t="s">
        <v>338</v>
      </c>
      <c r="E115" t="s">
        <v>326</v>
      </c>
      <c r="F115" t="s">
        <v>339</v>
      </c>
      <c r="G115" t="s">
        <v>99</v>
      </c>
      <c r="H115" t="s">
        <v>46</v>
      </c>
      <c r="I115" t="s">
        <v>28</v>
      </c>
      <c r="J115" t="s">
        <v>29</v>
      </c>
      <c r="K115" t="s">
        <v>314</v>
      </c>
      <c r="L115" t="s">
        <v>32</v>
      </c>
      <c r="M115" t="s">
        <v>374</v>
      </c>
      <c r="N115" t="s">
        <v>32</v>
      </c>
      <c r="O115" t="s">
        <v>367</v>
      </c>
      <c r="P115" t="s">
        <v>367</v>
      </c>
      <c r="Q115" t="s">
        <v>328</v>
      </c>
      <c r="R115" t="s">
        <v>329</v>
      </c>
      <c r="S115" t="s">
        <v>352</v>
      </c>
      <c r="T115" t="s">
        <v>350</v>
      </c>
      <c r="U115" t="s">
        <v>367</v>
      </c>
      <c r="V115" t="s">
        <v>367</v>
      </c>
    </row>
    <row r="116" spans="1:22" x14ac:dyDescent="0.3">
      <c r="A116">
        <v>266</v>
      </c>
      <c r="B116" t="s">
        <v>375</v>
      </c>
      <c r="C116" t="s">
        <v>376</v>
      </c>
      <c r="D116" t="s">
        <v>110</v>
      </c>
      <c r="E116" t="s">
        <v>110</v>
      </c>
      <c r="F116" t="s">
        <v>110</v>
      </c>
      <c r="G116" t="s">
        <v>99</v>
      </c>
      <c r="H116" t="s">
        <v>28</v>
      </c>
      <c r="I116" t="s">
        <v>28</v>
      </c>
      <c r="J116" t="s">
        <v>29</v>
      </c>
      <c r="K116" t="s">
        <v>314</v>
      </c>
      <c r="L116" t="s">
        <v>32</v>
      </c>
      <c r="M116" t="s">
        <v>376</v>
      </c>
      <c r="N116" t="s">
        <v>32</v>
      </c>
      <c r="O116" t="s">
        <v>367</v>
      </c>
      <c r="P116" t="s">
        <v>367</v>
      </c>
      <c r="Q116" t="s">
        <v>111</v>
      </c>
      <c r="R116" t="s">
        <v>112</v>
      </c>
      <c r="S116" t="s">
        <v>352</v>
      </c>
      <c r="T116" t="s">
        <v>350</v>
      </c>
      <c r="U116" t="s">
        <v>367</v>
      </c>
      <c r="V116" t="s">
        <v>367</v>
      </c>
    </row>
    <row r="117" spans="1:22" x14ac:dyDescent="0.3">
      <c r="A117">
        <v>267</v>
      </c>
      <c r="B117" t="s">
        <v>377</v>
      </c>
      <c r="C117" t="s">
        <v>378</v>
      </c>
      <c r="D117" t="s">
        <v>371</v>
      </c>
      <c r="E117" t="s">
        <v>326</v>
      </c>
      <c r="F117" t="s">
        <v>372</v>
      </c>
      <c r="G117" t="s">
        <v>99</v>
      </c>
      <c r="H117" t="s">
        <v>27</v>
      </c>
      <c r="I117" t="s">
        <v>28</v>
      </c>
      <c r="J117" t="s">
        <v>29</v>
      </c>
      <c r="K117" t="s">
        <v>314</v>
      </c>
      <c r="L117" t="s">
        <v>32</v>
      </c>
      <c r="M117" t="s">
        <v>378</v>
      </c>
      <c r="N117" t="s">
        <v>32</v>
      </c>
      <c r="O117" t="s">
        <v>367</v>
      </c>
      <c r="P117" t="s">
        <v>367</v>
      </c>
      <c r="Q117" t="s">
        <v>328</v>
      </c>
      <c r="R117" t="s">
        <v>329</v>
      </c>
      <c r="S117" t="s">
        <v>352</v>
      </c>
      <c r="T117" t="s">
        <v>350</v>
      </c>
      <c r="U117" t="s">
        <v>367</v>
      </c>
      <c r="V117" t="s">
        <v>367</v>
      </c>
    </row>
    <row r="118" spans="1:22" x14ac:dyDescent="0.3">
      <c r="A118">
        <v>268</v>
      </c>
      <c r="B118" t="s">
        <v>369</v>
      </c>
      <c r="C118" t="s">
        <v>379</v>
      </c>
      <c r="D118" t="s">
        <v>325</v>
      </c>
      <c r="E118" t="s">
        <v>326</v>
      </c>
      <c r="F118" t="s">
        <v>327</v>
      </c>
      <c r="G118" t="s">
        <v>99</v>
      </c>
      <c r="H118" t="s">
        <v>27</v>
      </c>
      <c r="I118" t="s">
        <v>28</v>
      </c>
      <c r="J118" t="s">
        <v>29</v>
      </c>
      <c r="K118" t="s">
        <v>314</v>
      </c>
      <c r="L118" t="s">
        <v>32</v>
      </c>
      <c r="M118" t="s">
        <v>379</v>
      </c>
      <c r="N118" t="s">
        <v>32</v>
      </c>
      <c r="O118" t="s">
        <v>380</v>
      </c>
      <c r="P118" t="s">
        <v>380</v>
      </c>
      <c r="Q118" t="s">
        <v>328</v>
      </c>
      <c r="R118" t="s">
        <v>329</v>
      </c>
      <c r="S118" t="s">
        <v>352</v>
      </c>
      <c r="T118" t="s">
        <v>350</v>
      </c>
      <c r="U118" t="s">
        <v>367</v>
      </c>
      <c r="V118" t="s">
        <v>367</v>
      </c>
    </row>
    <row r="119" spans="1:22" x14ac:dyDescent="0.3">
      <c r="A119">
        <v>269</v>
      </c>
      <c r="B119" t="s">
        <v>377</v>
      </c>
      <c r="C119" t="s">
        <v>381</v>
      </c>
      <c r="D119" t="s">
        <v>325</v>
      </c>
      <c r="E119" t="s">
        <v>326</v>
      </c>
      <c r="F119" t="s">
        <v>327</v>
      </c>
      <c r="G119" t="s">
        <v>99</v>
      </c>
      <c r="H119" t="s">
        <v>27</v>
      </c>
      <c r="I119" t="s">
        <v>28</v>
      </c>
      <c r="J119" t="s">
        <v>29</v>
      </c>
      <c r="K119" t="s">
        <v>314</v>
      </c>
      <c r="L119" t="s">
        <v>32</v>
      </c>
      <c r="M119" t="s">
        <v>381</v>
      </c>
      <c r="N119" t="s">
        <v>32</v>
      </c>
      <c r="O119" t="s">
        <v>382</v>
      </c>
      <c r="P119" t="s">
        <v>382</v>
      </c>
      <c r="Q119" t="s">
        <v>328</v>
      </c>
      <c r="R119" t="s">
        <v>329</v>
      </c>
      <c r="S119" t="s">
        <v>352</v>
      </c>
      <c r="T119" t="s">
        <v>350</v>
      </c>
      <c r="U119" t="s">
        <v>367</v>
      </c>
      <c r="V119" t="s">
        <v>367</v>
      </c>
    </row>
    <row r="120" spans="1:22" x14ac:dyDescent="0.3">
      <c r="A120">
        <v>270</v>
      </c>
      <c r="B120" t="s">
        <v>383</v>
      </c>
      <c r="C120" t="s">
        <v>384</v>
      </c>
      <c r="D120" t="s">
        <v>371</v>
      </c>
      <c r="E120" t="s">
        <v>326</v>
      </c>
      <c r="F120" t="s">
        <v>372</v>
      </c>
      <c r="G120" t="s">
        <v>99</v>
      </c>
      <c r="H120" t="s">
        <v>27</v>
      </c>
      <c r="I120" t="s">
        <v>28</v>
      </c>
      <c r="J120" t="s">
        <v>29</v>
      </c>
      <c r="K120" t="s">
        <v>314</v>
      </c>
      <c r="L120" t="s">
        <v>32</v>
      </c>
      <c r="M120" t="s">
        <v>384</v>
      </c>
      <c r="N120" t="s">
        <v>32</v>
      </c>
      <c r="O120" t="s">
        <v>385</v>
      </c>
      <c r="P120" t="s">
        <v>385</v>
      </c>
      <c r="Q120" t="s">
        <v>328</v>
      </c>
      <c r="R120" t="s">
        <v>329</v>
      </c>
      <c r="S120" t="s">
        <v>352</v>
      </c>
      <c r="T120" t="s">
        <v>350</v>
      </c>
      <c r="U120" t="s">
        <v>367</v>
      </c>
      <c r="V120" t="s">
        <v>367</v>
      </c>
    </row>
    <row r="121" spans="1:22" x14ac:dyDescent="0.3">
      <c r="A121">
        <v>271</v>
      </c>
      <c r="B121" t="s">
        <v>383</v>
      </c>
      <c r="C121" t="s">
        <v>386</v>
      </c>
      <c r="D121" t="s">
        <v>325</v>
      </c>
      <c r="E121" t="s">
        <v>326</v>
      </c>
      <c r="F121" t="s">
        <v>327</v>
      </c>
      <c r="G121" t="s">
        <v>99</v>
      </c>
      <c r="H121" t="s">
        <v>27</v>
      </c>
      <c r="I121" t="s">
        <v>28</v>
      </c>
      <c r="J121" t="s">
        <v>29</v>
      </c>
      <c r="K121" t="s">
        <v>314</v>
      </c>
      <c r="L121" t="s">
        <v>32</v>
      </c>
      <c r="M121" t="s">
        <v>386</v>
      </c>
      <c r="N121" t="s">
        <v>32</v>
      </c>
      <c r="O121" t="s">
        <v>387</v>
      </c>
      <c r="P121" t="s">
        <v>387</v>
      </c>
      <c r="Q121" t="s">
        <v>328</v>
      </c>
      <c r="R121" t="s">
        <v>329</v>
      </c>
      <c r="S121" t="s">
        <v>352</v>
      </c>
      <c r="T121" t="s">
        <v>350</v>
      </c>
      <c r="U121" t="s">
        <v>367</v>
      </c>
      <c r="V121" t="s">
        <v>367</v>
      </c>
    </row>
    <row r="122" spans="1:22" x14ac:dyDescent="0.3">
      <c r="A122">
        <v>272</v>
      </c>
      <c r="B122" t="s">
        <v>388</v>
      </c>
      <c r="C122" t="s">
        <v>388</v>
      </c>
      <c r="D122" t="s">
        <v>358</v>
      </c>
      <c r="E122" t="s">
        <v>326</v>
      </c>
      <c r="F122" t="s">
        <v>359</v>
      </c>
      <c r="G122" t="s">
        <v>99</v>
      </c>
      <c r="H122" t="s">
        <v>28</v>
      </c>
      <c r="I122" t="s">
        <v>28</v>
      </c>
      <c r="J122" t="s">
        <v>29</v>
      </c>
      <c r="K122" t="s">
        <v>314</v>
      </c>
      <c r="L122" t="s">
        <v>32</v>
      </c>
      <c r="M122" t="s">
        <v>388</v>
      </c>
      <c r="N122" t="s">
        <v>32</v>
      </c>
      <c r="O122" t="s">
        <v>389</v>
      </c>
      <c r="P122" t="s">
        <v>389</v>
      </c>
      <c r="Q122" t="s">
        <v>360</v>
      </c>
      <c r="R122" t="s">
        <v>361</v>
      </c>
      <c r="S122" t="s">
        <v>352</v>
      </c>
      <c r="T122" t="s">
        <v>350</v>
      </c>
      <c r="U122" t="s">
        <v>367</v>
      </c>
      <c r="V122" t="s">
        <v>367</v>
      </c>
    </row>
    <row r="123" spans="1:22" hidden="1" x14ac:dyDescent="0.3">
      <c r="A123">
        <v>276</v>
      </c>
      <c r="B123" t="s">
        <v>390</v>
      </c>
      <c r="C123" t="s">
        <v>390</v>
      </c>
      <c r="D123" t="s">
        <v>391</v>
      </c>
      <c r="E123" t="s">
        <v>392</v>
      </c>
      <c r="F123" t="s">
        <v>392</v>
      </c>
      <c r="G123" t="s">
        <v>99</v>
      </c>
      <c r="H123" t="s">
        <v>28</v>
      </c>
      <c r="I123" t="s">
        <v>28</v>
      </c>
      <c r="J123" t="s">
        <v>29</v>
      </c>
      <c r="K123" t="s">
        <v>314</v>
      </c>
      <c r="L123" t="s">
        <v>32</v>
      </c>
      <c r="M123" t="s">
        <v>390</v>
      </c>
      <c r="N123" t="s">
        <v>32</v>
      </c>
      <c r="O123" t="s">
        <v>393</v>
      </c>
      <c r="P123" t="s">
        <v>393</v>
      </c>
      <c r="Q123" t="s">
        <v>394</v>
      </c>
      <c r="R123" t="s">
        <v>395</v>
      </c>
      <c r="S123" t="s">
        <v>396</v>
      </c>
      <c r="T123" t="s">
        <v>393</v>
      </c>
      <c r="U123" t="s">
        <v>393</v>
      </c>
      <c r="V123" t="s">
        <v>393</v>
      </c>
    </row>
    <row r="124" spans="1:22" hidden="1" x14ac:dyDescent="0.3">
      <c r="A124">
        <v>277</v>
      </c>
      <c r="B124" t="s">
        <v>391</v>
      </c>
      <c r="C124" t="s">
        <v>391</v>
      </c>
      <c r="D124" t="s">
        <v>391</v>
      </c>
      <c r="E124" t="s">
        <v>397</v>
      </c>
      <c r="F124" t="s">
        <v>397</v>
      </c>
      <c r="G124" t="s">
        <v>99</v>
      </c>
      <c r="H124" t="s">
        <v>28</v>
      </c>
      <c r="I124" t="s">
        <v>28</v>
      </c>
      <c r="J124" t="s">
        <v>29</v>
      </c>
      <c r="K124" t="s">
        <v>314</v>
      </c>
      <c r="L124" t="s">
        <v>32</v>
      </c>
      <c r="M124" t="s">
        <v>391</v>
      </c>
      <c r="N124" t="s">
        <v>32</v>
      </c>
      <c r="O124" t="s">
        <v>398</v>
      </c>
      <c r="P124" t="s">
        <v>398</v>
      </c>
      <c r="Q124" t="s">
        <v>394</v>
      </c>
      <c r="R124" t="s">
        <v>395</v>
      </c>
      <c r="S124" t="s">
        <v>396</v>
      </c>
      <c r="T124" t="s">
        <v>393</v>
      </c>
      <c r="U124" t="s">
        <v>393</v>
      </c>
      <c r="V124" t="s">
        <v>393</v>
      </c>
    </row>
    <row r="125" spans="1:22" hidden="1" x14ac:dyDescent="0.3">
      <c r="A125">
        <v>278</v>
      </c>
      <c r="B125" t="s">
        <v>399</v>
      </c>
      <c r="C125" t="s">
        <v>399</v>
      </c>
      <c r="D125" t="s">
        <v>391</v>
      </c>
      <c r="E125" t="s">
        <v>400</v>
      </c>
      <c r="F125" t="s">
        <v>400</v>
      </c>
      <c r="G125" t="s">
        <v>99</v>
      </c>
      <c r="H125" t="s">
        <v>28</v>
      </c>
      <c r="I125" t="s">
        <v>28</v>
      </c>
      <c r="J125" t="s">
        <v>29</v>
      </c>
      <c r="K125" t="s">
        <v>314</v>
      </c>
      <c r="L125" t="s">
        <v>32</v>
      </c>
      <c r="M125" t="s">
        <v>399</v>
      </c>
      <c r="N125" t="s">
        <v>32</v>
      </c>
      <c r="O125" t="s">
        <v>401</v>
      </c>
      <c r="P125" t="s">
        <v>401</v>
      </c>
      <c r="Q125" t="s">
        <v>394</v>
      </c>
      <c r="R125" t="s">
        <v>395</v>
      </c>
      <c r="S125" t="s">
        <v>396</v>
      </c>
      <c r="T125" t="s">
        <v>393</v>
      </c>
      <c r="U125" t="s">
        <v>393</v>
      </c>
      <c r="V125" t="s">
        <v>393</v>
      </c>
    </row>
    <row r="126" spans="1:22" x14ac:dyDescent="0.3">
      <c r="A126">
        <v>284</v>
      </c>
      <c r="B126" t="s">
        <v>402</v>
      </c>
      <c r="C126" t="s">
        <v>402</v>
      </c>
      <c r="D126" t="s">
        <v>358</v>
      </c>
      <c r="E126" t="s">
        <v>326</v>
      </c>
      <c r="F126" t="s">
        <v>359</v>
      </c>
      <c r="G126" t="s">
        <v>99</v>
      </c>
      <c r="H126" t="s">
        <v>28</v>
      </c>
      <c r="I126" t="s">
        <v>28</v>
      </c>
      <c r="J126" t="s">
        <v>29</v>
      </c>
      <c r="K126" t="s">
        <v>265</v>
      </c>
      <c r="L126" t="s">
        <v>32</v>
      </c>
      <c r="M126" t="s">
        <v>402</v>
      </c>
      <c r="N126" t="s">
        <v>32</v>
      </c>
      <c r="O126" t="s">
        <v>403</v>
      </c>
      <c r="P126" t="s">
        <v>403</v>
      </c>
      <c r="Q126" t="s">
        <v>404</v>
      </c>
      <c r="R126" t="s">
        <v>405</v>
      </c>
      <c r="S126" t="s">
        <v>406</v>
      </c>
      <c r="T126" t="s">
        <v>407</v>
      </c>
      <c r="U126" t="s">
        <v>407</v>
      </c>
      <c r="V126" t="s">
        <v>407</v>
      </c>
    </row>
    <row r="127" spans="1:22" x14ac:dyDescent="0.3">
      <c r="A127">
        <v>285</v>
      </c>
      <c r="B127" t="s">
        <v>408</v>
      </c>
      <c r="C127" t="s">
        <v>408</v>
      </c>
      <c r="D127" t="s">
        <v>358</v>
      </c>
      <c r="E127" t="s">
        <v>326</v>
      </c>
      <c r="F127" t="s">
        <v>359</v>
      </c>
      <c r="G127" t="s">
        <v>99</v>
      </c>
      <c r="H127" t="s">
        <v>28</v>
      </c>
      <c r="I127" t="s">
        <v>28</v>
      </c>
      <c r="J127" t="s">
        <v>29</v>
      </c>
      <c r="K127" t="s">
        <v>265</v>
      </c>
      <c r="L127" t="s">
        <v>32</v>
      </c>
      <c r="M127" t="s">
        <v>408</v>
      </c>
      <c r="N127" t="s">
        <v>32</v>
      </c>
      <c r="O127" t="s">
        <v>409</v>
      </c>
      <c r="P127" t="s">
        <v>409</v>
      </c>
      <c r="Q127" t="s">
        <v>410</v>
      </c>
      <c r="R127" t="s">
        <v>411</v>
      </c>
      <c r="S127" t="s">
        <v>406</v>
      </c>
      <c r="T127" t="s">
        <v>407</v>
      </c>
      <c r="U127" t="s">
        <v>407</v>
      </c>
      <c r="V127" t="s">
        <v>407</v>
      </c>
    </row>
    <row r="128" spans="1:22" x14ac:dyDescent="0.3">
      <c r="A128">
        <v>286</v>
      </c>
      <c r="B128" t="s">
        <v>412</v>
      </c>
      <c r="C128" t="s">
        <v>412</v>
      </c>
      <c r="D128" t="s">
        <v>358</v>
      </c>
      <c r="E128" t="s">
        <v>326</v>
      </c>
      <c r="F128" t="s">
        <v>359</v>
      </c>
      <c r="G128" t="s">
        <v>99</v>
      </c>
      <c r="H128" t="s">
        <v>28</v>
      </c>
      <c r="I128" t="s">
        <v>28</v>
      </c>
      <c r="J128" t="s">
        <v>29</v>
      </c>
      <c r="K128" t="s">
        <v>265</v>
      </c>
      <c r="L128" t="s">
        <v>32</v>
      </c>
      <c r="M128" t="s">
        <v>412</v>
      </c>
      <c r="N128" t="s">
        <v>32</v>
      </c>
      <c r="O128" t="s">
        <v>413</v>
      </c>
      <c r="P128" t="s">
        <v>413</v>
      </c>
      <c r="Q128" t="s">
        <v>410</v>
      </c>
      <c r="R128" t="s">
        <v>411</v>
      </c>
      <c r="S128" t="s">
        <v>406</v>
      </c>
      <c r="T128" t="s">
        <v>407</v>
      </c>
      <c r="U128" t="s">
        <v>407</v>
      </c>
      <c r="V128" t="s">
        <v>407</v>
      </c>
    </row>
    <row r="129" spans="1:22" x14ac:dyDescent="0.3">
      <c r="A129">
        <v>287</v>
      </c>
      <c r="B129" t="s">
        <v>414</v>
      </c>
      <c r="C129" t="s">
        <v>414</v>
      </c>
      <c r="D129" t="s">
        <v>358</v>
      </c>
      <c r="E129" t="s">
        <v>326</v>
      </c>
      <c r="F129" t="s">
        <v>359</v>
      </c>
      <c r="G129" t="s">
        <v>99</v>
      </c>
      <c r="H129" t="s">
        <v>28</v>
      </c>
      <c r="I129" t="s">
        <v>28</v>
      </c>
      <c r="J129" t="s">
        <v>29</v>
      </c>
      <c r="K129" t="s">
        <v>265</v>
      </c>
      <c r="L129" t="s">
        <v>32</v>
      </c>
      <c r="M129" t="s">
        <v>414</v>
      </c>
      <c r="N129" t="s">
        <v>32</v>
      </c>
      <c r="O129" t="s">
        <v>415</v>
      </c>
      <c r="P129" t="s">
        <v>415</v>
      </c>
      <c r="Q129" t="s">
        <v>416</v>
      </c>
      <c r="R129" t="s">
        <v>417</v>
      </c>
      <c r="S129" t="s">
        <v>406</v>
      </c>
      <c r="T129" t="s">
        <v>407</v>
      </c>
      <c r="U129" t="s">
        <v>407</v>
      </c>
      <c r="V129" t="s">
        <v>407</v>
      </c>
    </row>
    <row r="130" spans="1:22" x14ac:dyDescent="0.3">
      <c r="A130">
        <v>288</v>
      </c>
      <c r="B130" t="s">
        <v>418</v>
      </c>
      <c r="C130" t="s">
        <v>418</v>
      </c>
      <c r="D130" t="s">
        <v>358</v>
      </c>
      <c r="E130" t="s">
        <v>326</v>
      </c>
      <c r="F130" t="s">
        <v>359</v>
      </c>
      <c r="G130" t="s">
        <v>99</v>
      </c>
      <c r="H130" t="s">
        <v>28</v>
      </c>
      <c r="I130" t="s">
        <v>28</v>
      </c>
      <c r="J130" t="s">
        <v>29</v>
      </c>
      <c r="K130" t="s">
        <v>265</v>
      </c>
      <c r="L130" t="s">
        <v>32</v>
      </c>
      <c r="M130" t="s">
        <v>418</v>
      </c>
      <c r="N130" t="s">
        <v>32</v>
      </c>
      <c r="O130" t="s">
        <v>419</v>
      </c>
      <c r="P130" t="s">
        <v>419</v>
      </c>
      <c r="Q130" t="s">
        <v>420</v>
      </c>
      <c r="R130" t="s">
        <v>420</v>
      </c>
      <c r="S130" t="s">
        <v>406</v>
      </c>
      <c r="T130" t="s">
        <v>407</v>
      </c>
      <c r="U130" t="s">
        <v>407</v>
      </c>
      <c r="V130" t="s">
        <v>407</v>
      </c>
    </row>
    <row r="131" spans="1:22" hidden="1" x14ac:dyDescent="0.3">
      <c r="A131">
        <v>289</v>
      </c>
      <c r="B131" t="s">
        <v>421</v>
      </c>
      <c r="C131" t="s">
        <v>421</v>
      </c>
      <c r="D131" t="s">
        <v>358</v>
      </c>
      <c r="E131" t="s">
        <v>326</v>
      </c>
      <c r="F131" t="s">
        <v>359</v>
      </c>
      <c r="G131" t="s">
        <v>99</v>
      </c>
      <c r="H131" t="s">
        <v>28</v>
      </c>
      <c r="I131" t="s">
        <v>28</v>
      </c>
      <c r="J131" t="s">
        <v>29</v>
      </c>
      <c r="K131" t="s">
        <v>265</v>
      </c>
      <c r="L131" t="s">
        <v>32</v>
      </c>
      <c r="N131" t="s">
        <v>32</v>
      </c>
      <c r="Q131" t="s">
        <v>422</v>
      </c>
      <c r="R131" t="s">
        <v>423</v>
      </c>
      <c r="S131" t="s">
        <v>280</v>
      </c>
    </row>
    <row r="132" spans="1:22" x14ac:dyDescent="0.3">
      <c r="A132">
        <v>290</v>
      </c>
      <c r="B132" t="s">
        <v>424</v>
      </c>
      <c r="C132" t="s">
        <v>424</v>
      </c>
      <c r="D132" t="s">
        <v>358</v>
      </c>
      <c r="E132" t="s">
        <v>326</v>
      </c>
      <c r="F132" t="s">
        <v>359</v>
      </c>
      <c r="G132" t="s">
        <v>99</v>
      </c>
      <c r="H132" t="s">
        <v>28</v>
      </c>
      <c r="I132" t="s">
        <v>28</v>
      </c>
      <c r="J132" t="s">
        <v>29</v>
      </c>
      <c r="K132" t="s">
        <v>265</v>
      </c>
      <c r="L132" t="s">
        <v>32</v>
      </c>
      <c r="M132" t="s">
        <v>425</v>
      </c>
      <c r="N132" t="s">
        <v>32</v>
      </c>
      <c r="O132" t="s">
        <v>426</v>
      </c>
      <c r="P132" t="s">
        <v>426</v>
      </c>
      <c r="Q132" t="s">
        <v>422</v>
      </c>
      <c r="R132" t="s">
        <v>423</v>
      </c>
      <c r="S132" t="s">
        <v>406</v>
      </c>
      <c r="T132" t="s">
        <v>407</v>
      </c>
      <c r="U132" t="s">
        <v>407</v>
      </c>
      <c r="V132" t="s">
        <v>407</v>
      </c>
    </row>
    <row r="133" spans="1:22" x14ac:dyDescent="0.3">
      <c r="A133">
        <v>291</v>
      </c>
      <c r="B133" t="s">
        <v>427</v>
      </c>
      <c r="C133" t="s">
        <v>427</v>
      </c>
      <c r="D133" t="s">
        <v>358</v>
      </c>
      <c r="E133" t="s">
        <v>326</v>
      </c>
      <c r="F133" t="s">
        <v>359</v>
      </c>
      <c r="G133" t="s">
        <v>99</v>
      </c>
      <c r="H133" t="s">
        <v>28</v>
      </c>
      <c r="I133" t="s">
        <v>28</v>
      </c>
      <c r="J133" t="s">
        <v>29</v>
      </c>
      <c r="K133" t="s">
        <v>265</v>
      </c>
      <c r="L133" t="s">
        <v>32</v>
      </c>
      <c r="M133" t="s">
        <v>427</v>
      </c>
      <c r="N133" t="s">
        <v>32</v>
      </c>
      <c r="O133" t="s">
        <v>428</v>
      </c>
      <c r="P133" t="s">
        <v>428</v>
      </c>
      <c r="Q133" t="s">
        <v>420</v>
      </c>
      <c r="R133" t="s">
        <v>420</v>
      </c>
      <c r="S133" t="s">
        <v>406</v>
      </c>
      <c r="T133" t="s">
        <v>407</v>
      </c>
      <c r="U133" t="s">
        <v>428</v>
      </c>
      <c r="V133" t="s">
        <v>428</v>
      </c>
    </row>
    <row r="134" spans="1:22" x14ac:dyDescent="0.3">
      <c r="A134">
        <v>292</v>
      </c>
      <c r="B134" t="s">
        <v>429</v>
      </c>
      <c r="C134" t="s">
        <v>429</v>
      </c>
      <c r="D134" t="s">
        <v>358</v>
      </c>
      <c r="E134" t="s">
        <v>326</v>
      </c>
      <c r="F134" t="s">
        <v>359</v>
      </c>
      <c r="G134" t="s">
        <v>99</v>
      </c>
      <c r="H134" t="s">
        <v>28</v>
      </c>
      <c r="I134" t="s">
        <v>28</v>
      </c>
      <c r="J134" t="s">
        <v>29</v>
      </c>
      <c r="K134" t="s">
        <v>265</v>
      </c>
      <c r="L134" t="s">
        <v>32</v>
      </c>
      <c r="M134" t="s">
        <v>429</v>
      </c>
      <c r="N134" t="s">
        <v>32</v>
      </c>
      <c r="O134" t="s">
        <v>428</v>
      </c>
      <c r="P134" t="s">
        <v>428</v>
      </c>
      <c r="Q134" t="s">
        <v>420</v>
      </c>
      <c r="R134" t="s">
        <v>420</v>
      </c>
      <c r="S134" t="s">
        <v>406</v>
      </c>
      <c r="T134" t="s">
        <v>407</v>
      </c>
      <c r="U134" t="s">
        <v>428</v>
      </c>
      <c r="V134" t="s">
        <v>428</v>
      </c>
    </row>
    <row r="135" spans="1:22" x14ac:dyDescent="0.3">
      <c r="A135">
        <v>293</v>
      </c>
      <c r="B135" t="s">
        <v>430</v>
      </c>
      <c r="C135" t="s">
        <v>430</v>
      </c>
      <c r="D135" t="s">
        <v>358</v>
      </c>
      <c r="E135" t="s">
        <v>326</v>
      </c>
      <c r="F135" t="s">
        <v>359</v>
      </c>
      <c r="G135" t="s">
        <v>99</v>
      </c>
      <c r="H135" t="s">
        <v>28</v>
      </c>
      <c r="I135" t="s">
        <v>28</v>
      </c>
      <c r="J135" t="s">
        <v>29</v>
      </c>
      <c r="K135" t="s">
        <v>265</v>
      </c>
      <c r="L135" t="s">
        <v>32</v>
      </c>
      <c r="M135" t="s">
        <v>430</v>
      </c>
      <c r="N135" t="s">
        <v>32</v>
      </c>
      <c r="O135" t="s">
        <v>431</v>
      </c>
      <c r="P135" t="s">
        <v>431</v>
      </c>
      <c r="Q135" t="s">
        <v>420</v>
      </c>
      <c r="R135" t="s">
        <v>420</v>
      </c>
      <c r="S135" t="s">
        <v>406</v>
      </c>
      <c r="T135" t="s">
        <v>407</v>
      </c>
      <c r="U135" t="s">
        <v>428</v>
      </c>
      <c r="V135" t="s">
        <v>428</v>
      </c>
    </row>
    <row r="136" spans="1:22" x14ac:dyDescent="0.3">
      <c r="A136">
        <v>294</v>
      </c>
      <c r="B136" t="s">
        <v>432</v>
      </c>
      <c r="C136" t="s">
        <v>432</v>
      </c>
      <c r="D136" t="s">
        <v>358</v>
      </c>
      <c r="E136" t="s">
        <v>326</v>
      </c>
      <c r="F136" t="s">
        <v>359</v>
      </c>
      <c r="G136" t="s">
        <v>99</v>
      </c>
      <c r="H136" t="s">
        <v>28</v>
      </c>
      <c r="I136" t="s">
        <v>28</v>
      </c>
      <c r="J136" t="s">
        <v>29</v>
      </c>
      <c r="K136" t="s">
        <v>265</v>
      </c>
      <c r="L136" t="s">
        <v>32</v>
      </c>
      <c r="M136" t="s">
        <v>432</v>
      </c>
      <c r="N136" t="s">
        <v>32</v>
      </c>
      <c r="O136" t="s">
        <v>433</v>
      </c>
      <c r="P136" t="s">
        <v>433</v>
      </c>
      <c r="Q136" t="s">
        <v>420</v>
      </c>
      <c r="R136" t="s">
        <v>420</v>
      </c>
      <c r="S136" t="s">
        <v>406</v>
      </c>
      <c r="T136" t="s">
        <v>407</v>
      </c>
      <c r="U136" t="s">
        <v>428</v>
      </c>
      <c r="V136" t="s">
        <v>428</v>
      </c>
    </row>
    <row r="137" spans="1:22" x14ac:dyDescent="0.3">
      <c r="A137">
        <v>295</v>
      </c>
      <c r="B137" t="s">
        <v>434</v>
      </c>
      <c r="C137" t="s">
        <v>434</v>
      </c>
      <c r="D137" t="s">
        <v>358</v>
      </c>
      <c r="E137" t="s">
        <v>326</v>
      </c>
      <c r="F137" t="s">
        <v>359</v>
      </c>
      <c r="G137" t="s">
        <v>99</v>
      </c>
      <c r="H137" t="s">
        <v>28</v>
      </c>
      <c r="I137" t="s">
        <v>28</v>
      </c>
      <c r="J137" t="s">
        <v>29</v>
      </c>
      <c r="K137" t="s">
        <v>265</v>
      </c>
      <c r="L137" t="s">
        <v>32</v>
      </c>
      <c r="M137" t="s">
        <v>434</v>
      </c>
      <c r="N137" t="s">
        <v>32</v>
      </c>
      <c r="O137" t="s">
        <v>435</v>
      </c>
      <c r="P137" t="s">
        <v>435</v>
      </c>
      <c r="Q137" t="s">
        <v>420</v>
      </c>
      <c r="R137" t="s">
        <v>420</v>
      </c>
      <c r="S137" t="s">
        <v>406</v>
      </c>
      <c r="T137" t="s">
        <v>407</v>
      </c>
      <c r="U137" t="s">
        <v>428</v>
      </c>
      <c r="V137" t="s">
        <v>428</v>
      </c>
    </row>
    <row r="138" spans="1:22" hidden="1" x14ac:dyDescent="0.3">
      <c r="A138">
        <v>296</v>
      </c>
      <c r="B138" t="s">
        <v>436</v>
      </c>
      <c r="C138" t="s">
        <v>436</v>
      </c>
      <c r="D138" t="s">
        <v>358</v>
      </c>
      <c r="E138" t="s">
        <v>326</v>
      </c>
      <c r="F138" t="s">
        <v>359</v>
      </c>
      <c r="G138" t="s">
        <v>99</v>
      </c>
      <c r="H138" t="s">
        <v>28</v>
      </c>
      <c r="I138" t="s">
        <v>28</v>
      </c>
      <c r="J138" t="s">
        <v>29</v>
      </c>
      <c r="K138" t="s">
        <v>265</v>
      </c>
      <c r="L138" t="s">
        <v>437</v>
      </c>
      <c r="M138" t="s">
        <v>436</v>
      </c>
      <c r="N138" t="s">
        <v>32</v>
      </c>
      <c r="O138" t="s">
        <v>438</v>
      </c>
      <c r="P138" t="s">
        <v>438</v>
      </c>
      <c r="Q138" t="s">
        <v>420</v>
      </c>
      <c r="R138" t="s">
        <v>420</v>
      </c>
      <c r="S138" t="s">
        <v>406</v>
      </c>
      <c r="T138" t="s">
        <v>407</v>
      </c>
      <c r="U138" t="s">
        <v>428</v>
      </c>
      <c r="V138" t="s">
        <v>32</v>
      </c>
    </row>
    <row r="139" spans="1:22" hidden="1" x14ac:dyDescent="0.3">
      <c r="A139">
        <v>297</v>
      </c>
      <c r="B139" t="s">
        <v>439</v>
      </c>
      <c r="C139" t="s">
        <v>439</v>
      </c>
      <c r="D139" t="s">
        <v>123</v>
      </c>
      <c r="E139" t="s">
        <v>24</v>
      </c>
      <c r="F139" t="s">
        <v>25</v>
      </c>
      <c r="G139" t="s">
        <v>99</v>
      </c>
      <c r="H139" t="s">
        <v>28</v>
      </c>
      <c r="I139" t="s">
        <v>440</v>
      </c>
      <c r="J139" t="s">
        <v>29</v>
      </c>
      <c r="K139" t="s">
        <v>441</v>
      </c>
      <c r="L139" t="s">
        <v>32</v>
      </c>
      <c r="M139" t="s">
        <v>439</v>
      </c>
      <c r="N139" t="s">
        <v>32</v>
      </c>
      <c r="O139" t="s">
        <v>441</v>
      </c>
      <c r="P139" t="s">
        <v>441</v>
      </c>
      <c r="Q139" t="s">
        <v>442</v>
      </c>
      <c r="R139" t="s">
        <v>443</v>
      </c>
      <c r="S139" t="s">
        <v>444</v>
      </c>
      <c r="T139" t="s">
        <v>441</v>
      </c>
      <c r="U139" t="s">
        <v>441</v>
      </c>
      <c r="V139" t="s">
        <v>441</v>
      </c>
    </row>
    <row r="140" spans="1:22" hidden="1" x14ac:dyDescent="0.3">
      <c r="A140">
        <v>298</v>
      </c>
      <c r="B140" t="s">
        <v>445</v>
      </c>
      <c r="C140" t="s">
        <v>446</v>
      </c>
      <c r="D140" t="s">
        <v>123</v>
      </c>
      <c r="E140" t="s">
        <v>24</v>
      </c>
      <c r="F140" t="s">
        <v>25</v>
      </c>
      <c r="G140" t="s">
        <v>99</v>
      </c>
      <c r="H140" t="s">
        <v>28</v>
      </c>
      <c r="I140" t="s">
        <v>440</v>
      </c>
      <c r="J140" t="s">
        <v>29</v>
      </c>
      <c r="K140" t="s">
        <v>441</v>
      </c>
      <c r="L140" t="s">
        <v>32</v>
      </c>
      <c r="M140" t="s">
        <v>446</v>
      </c>
      <c r="N140" t="s">
        <v>32</v>
      </c>
      <c r="O140" t="s">
        <v>441</v>
      </c>
      <c r="P140" t="s">
        <v>441</v>
      </c>
      <c r="Q140" t="s">
        <v>442</v>
      </c>
      <c r="R140" t="s">
        <v>443</v>
      </c>
      <c r="S140" t="s">
        <v>444</v>
      </c>
      <c r="T140" t="s">
        <v>441</v>
      </c>
      <c r="U140" t="s">
        <v>441</v>
      </c>
      <c r="V140" t="s">
        <v>441</v>
      </c>
    </row>
  </sheetData>
  <autoFilter ref="A1:V140">
    <filterColumn colId="21">
      <filters>
        <filter val="13.FishPreyAK"/>
        <filter val="13.FishPreyAK_b"/>
        <filter val="15.PredFishAK"/>
        <filter val="15.PredFishAK_b"/>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O38"/>
  <sheetViews>
    <sheetView topLeftCell="A4" workbookViewId="0">
      <selection activeCell="D12" sqref="D12"/>
    </sheetView>
  </sheetViews>
  <sheetFormatPr defaultRowHeight="14.4" x14ac:dyDescent="0.3"/>
  <cols>
    <col min="1" max="1" width="39.77734375" bestFit="1" customWidth="1"/>
    <col min="2" max="2" width="4.5546875" customWidth="1"/>
    <col min="3" max="3" width="39.77734375" bestFit="1" customWidth="1"/>
    <col min="4" max="4" width="16.5546875" bestFit="1" customWidth="1"/>
    <col min="5" max="5" width="13.33203125" bestFit="1" customWidth="1"/>
    <col min="6" max="6" width="10.44140625" bestFit="1" customWidth="1"/>
    <col min="7" max="7" width="12.21875" bestFit="1" customWidth="1"/>
    <col min="8" max="8" width="10.6640625" bestFit="1" customWidth="1"/>
    <col min="9" max="9" width="44.33203125" bestFit="1" customWidth="1"/>
    <col min="10" max="10" width="15.5546875" bestFit="1" customWidth="1"/>
  </cols>
  <sheetData>
    <row r="4" spans="1:10" ht="43.2" x14ac:dyDescent="0.3">
      <c r="A4" t="s">
        <v>2</v>
      </c>
      <c r="C4" t="s">
        <v>633</v>
      </c>
      <c r="D4" s="1" t="s">
        <v>447</v>
      </c>
      <c r="E4" s="1" t="s">
        <v>448</v>
      </c>
      <c r="F4" t="s">
        <v>647</v>
      </c>
      <c r="G4" s="1" t="s">
        <v>450</v>
      </c>
      <c r="H4" s="1" t="s">
        <v>451</v>
      </c>
      <c r="I4" s="1" t="s">
        <v>452</v>
      </c>
      <c r="J4" s="1"/>
    </row>
    <row r="5" spans="1:10" x14ac:dyDescent="0.3">
      <c r="A5" t="s">
        <v>402</v>
      </c>
      <c r="C5" t="s">
        <v>634</v>
      </c>
      <c r="D5" t="s">
        <v>449</v>
      </c>
    </row>
    <row r="6" spans="1:10" x14ac:dyDescent="0.3">
      <c r="A6" t="s">
        <v>408</v>
      </c>
      <c r="C6" t="s">
        <v>635</v>
      </c>
      <c r="D6" t="s">
        <v>632</v>
      </c>
      <c r="E6" t="s">
        <v>631</v>
      </c>
    </row>
    <row r="7" spans="1:10" x14ac:dyDescent="0.3">
      <c r="A7" t="s">
        <v>412</v>
      </c>
      <c r="C7" t="s">
        <v>636</v>
      </c>
      <c r="D7" t="s">
        <v>648</v>
      </c>
    </row>
    <row r="8" spans="1:10" x14ac:dyDescent="0.3">
      <c r="A8" t="s">
        <v>414</v>
      </c>
      <c r="C8" t="s">
        <v>637</v>
      </c>
      <c r="D8" t="s">
        <v>649</v>
      </c>
    </row>
    <row r="9" spans="1:10" x14ac:dyDescent="0.3">
      <c r="A9" t="s">
        <v>418</v>
      </c>
      <c r="C9" t="s">
        <v>638</v>
      </c>
      <c r="D9" t="s">
        <v>650</v>
      </c>
    </row>
    <row r="10" spans="1:10" x14ac:dyDescent="0.3">
      <c r="A10" t="s">
        <v>424</v>
      </c>
      <c r="C10" t="s">
        <v>639</v>
      </c>
    </row>
    <row r="11" spans="1:10" x14ac:dyDescent="0.3">
      <c r="A11" t="s">
        <v>427</v>
      </c>
      <c r="C11" t="s">
        <v>640</v>
      </c>
    </row>
    <row r="12" spans="1:10" ht="86.4" x14ac:dyDescent="0.3">
      <c r="A12" t="s">
        <v>429</v>
      </c>
      <c r="C12" t="s">
        <v>641</v>
      </c>
      <c r="D12" s="1" t="s">
        <v>646</v>
      </c>
      <c r="F12" t="s">
        <v>645</v>
      </c>
    </row>
    <row r="13" spans="1:10" x14ac:dyDescent="0.3">
      <c r="A13" t="s">
        <v>430</v>
      </c>
      <c r="C13" t="s">
        <v>642</v>
      </c>
    </row>
    <row r="14" spans="1:10" x14ac:dyDescent="0.3">
      <c r="A14" t="s">
        <v>432</v>
      </c>
      <c r="C14" t="s">
        <v>643</v>
      </c>
    </row>
    <row r="15" spans="1:10" x14ac:dyDescent="0.3">
      <c r="A15" t="s">
        <v>434</v>
      </c>
      <c r="C15" t="s">
        <v>644</v>
      </c>
    </row>
    <row r="18" spans="3:15" x14ac:dyDescent="0.3">
      <c r="C18" t="s">
        <v>454</v>
      </c>
      <c r="D18" t="s">
        <v>455</v>
      </c>
      <c r="E18" t="s">
        <v>456</v>
      </c>
      <c r="F18" t="s">
        <v>457</v>
      </c>
      <c r="G18" t="s">
        <v>691</v>
      </c>
      <c r="H18" t="s">
        <v>458</v>
      </c>
      <c r="I18" t="s">
        <v>459</v>
      </c>
      <c r="J18" t="s">
        <v>460</v>
      </c>
      <c r="K18" t="s">
        <v>461</v>
      </c>
      <c r="L18" t="s">
        <v>462</v>
      </c>
    </row>
    <row r="19" spans="3:15" x14ac:dyDescent="0.3">
      <c r="C19" t="s">
        <v>453</v>
      </c>
    </row>
    <row r="20" spans="3:15" x14ac:dyDescent="0.3">
      <c r="C20" t="s">
        <v>463</v>
      </c>
      <c r="D20" t="s">
        <v>464</v>
      </c>
      <c r="E20" t="s">
        <v>465</v>
      </c>
      <c r="F20" t="s">
        <v>466</v>
      </c>
      <c r="G20" t="s">
        <v>467</v>
      </c>
      <c r="H20" t="s">
        <v>468</v>
      </c>
      <c r="I20" t="s">
        <v>469</v>
      </c>
      <c r="J20" t="s">
        <v>470</v>
      </c>
      <c r="K20" t="s">
        <v>471</v>
      </c>
      <c r="L20" t="s">
        <v>472</v>
      </c>
    </row>
    <row r="21" spans="3:15" x14ac:dyDescent="0.3">
      <c r="C21" t="s">
        <v>463</v>
      </c>
      <c r="D21" t="s">
        <v>473</v>
      </c>
      <c r="E21" t="s">
        <v>465</v>
      </c>
      <c r="F21" t="s">
        <v>466</v>
      </c>
      <c r="G21" t="s">
        <v>474</v>
      </c>
      <c r="H21" t="s">
        <v>475</v>
      </c>
      <c r="I21" t="s">
        <v>476</v>
      </c>
      <c r="J21" t="s">
        <v>470</v>
      </c>
      <c r="K21" t="s">
        <v>471</v>
      </c>
      <c r="L21" t="s">
        <v>477</v>
      </c>
    </row>
    <row r="22" spans="3:15" x14ac:dyDescent="0.3">
      <c r="C22" t="s">
        <v>463</v>
      </c>
      <c r="D22" t="s">
        <v>478</v>
      </c>
      <c r="E22" t="s">
        <v>465</v>
      </c>
      <c r="F22" t="s">
        <v>466</v>
      </c>
      <c r="G22" t="s">
        <v>479</v>
      </c>
      <c r="H22" t="s">
        <v>475</v>
      </c>
      <c r="I22" t="s">
        <v>480</v>
      </c>
      <c r="J22" t="s">
        <v>463</v>
      </c>
      <c r="K22" t="s">
        <v>481</v>
      </c>
      <c r="L22" t="s">
        <v>477</v>
      </c>
    </row>
    <row r="23" spans="3:15" x14ac:dyDescent="0.3">
      <c r="C23" t="s">
        <v>463</v>
      </c>
      <c r="D23" t="s">
        <v>482</v>
      </c>
      <c r="E23" t="s">
        <v>483</v>
      </c>
      <c r="F23" t="s">
        <v>484</v>
      </c>
      <c r="G23" t="s">
        <v>485</v>
      </c>
      <c r="H23" t="s">
        <v>486</v>
      </c>
      <c r="I23" t="s">
        <v>487</v>
      </c>
      <c r="J23" t="s">
        <v>463</v>
      </c>
      <c r="K23" t="s">
        <v>481</v>
      </c>
      <c r="L23" t="s">
        <v>488</v>
      </c>
    </row>
    <row r="24" spans="3:15" x14ac:dyDescent="0.3">
      <c r="C24" t="s">
        <v>463</v>
      </c>
      <c r="D24" t="s">
        <v>489</v>
      </c>
      <c r="E24" t="s">
        <v>490</v>
      </c>
      <c r="F24" t="s">
        <v>491</v>
      </c>
      <c r="G24" t="s">
        <v>485</v>
      </c>
      <c r="H24" t="s">
        <v>492</v>
      </c>
      <c r="I24" t="s">
        <v>493</v>
      </c>
      <c r="J24" t="s">
        <v>494</v>
      </c>
      <c r="K24" t="s">
        <v>481</v>
      </c>
      <c r="L24" t="s">
        <v>495</v>
      </c>
    </row>
    <row r="25" spans="3:15" x14ac:dyDescent="0.3">
      <c r="C25" t="s">
        <v>496</v>
      </c>
      <c r="D25" t="s">
        <v>497</v>
      </c>
      <c r="E25" t="s">
        <v>465</v>
      </c>
      <c r="F25" t="s">
        <v>498</v>
      </c>
      <c r="G25" t="s">
        <v>499</v>
      </c>
      <c r="H25" t="s">
        <v>500</v>
      </c>
      <c r="I25" t="s">
        <v>501</v>
      </c>
      <c r="J25" t="s">
        <v>502</v>
      </c>
      <c r="K25" t="s">
        <v>503</v>
      </c>
      <c r="L25" t="s">
        <v>504</v>
      </c>
      <c r="M25" t="s">
        <v>505</v>
      </c>
    </row>
    <row r="26" spans="3:15" x14ac:dyDescent="0.3">
      <c r="C26" t="s">
        <v>496</v>
      </c>
      <c r="D26" t="s">
        <v>506</v>
      </c>
      <c r="E26" t="s">
        <v>507</v>
      </c>
      <c r="F26" t="s">
        <v>498</v>
      </c>
      <c r="G26" t="s">
        <v>508</v>
      </c>
      <c r="H26" t="s">
        <v>509</v>
      </c>
      <c r="I26" t="s">
        <v>510</v>
      </c>
      <c r="J26" t="s">
        <v>511</v>
      </c>
      <c r="K26" t="s">
        <v>512</v>
      </c>
      <c r="L26" t="s">
        <v>513</v>
      </c>
      <c r="M26" t="s">
        <v>514</v>
      </c>
      <c r="N26" t="s">
        <v>515</v>
      </c>
    </row>
    <row r="27" spans="3:15" x14ac:dyDescent="0.3">
      <c r="C27" t="s">
        <v>496</v>
      </c>
      <c r="D27" t="s">
        <v>506</v>
      </c>
      <c r="E27" t="s">
        <v>516</v>
      </c>
      <c r="F27" t="s">
        <v>517</v>
      </c>
      <c r="G27" t="s">
        <v>518</v>
      </c>
      <c r="H27" t="s">
        <v>519</v>
      </c>
      <c r="I27" t="s">
        <v>520</v>
      </c>
      <c r="J27" t="s">
        <v>511</v>
      </c>
      <c r="K27" t="s">
        <v>521</v>
      </c>
      <c r="L27" t="s">
        <v>522</v>
      </c>
      <c r="M27" t="s">
        <v>523</v>
      </c>
      <c r="N27" t="s">
        <v>524</v>
      </c>
      <c r="O27" t="s">
        <v>515</v>
      </c>
    </row>
    <row r="28" spans="3:15" x14ac:dyDescent="0.3">
      <c r="C28" t="s">
        <v>525</v>
      </c>
      <c r="D28" t="s">
        <v>506</v>
      </c>
      <c r="E28" t="s">
        <v>526</v>
      </c>
      <c r="F28" t="s">
        <v>527</v>
      </c>
      <c r="G28" t="s">
        <v>528</v>
      </c>
      <c r="H28" t="s">
        <v>488</v>
      </c>
      <c r="I28" t="s">
        <v>529</v>
      </c>
      <c r="J28" t="s">
        <v>530</v>
      </c>
      <c r="K28" t="s">
        <v>531</v>
      </c>
      <c r="L28" t="s">
        <v>532</v>
      </c>
      <c r="M28" t="s">
        <v>533</v>
      </c>
      <c r="N28" t="s">
        <v>534</v>
      </c>
      <c r="O28" t="s">
        <v>535</v>
      </c>
    </row>
    <row r="29" spans="3:15" x14ac:dyDescent="0.3">
      <c r="C29" t="s">
        <v>525</v>
      </c>
      <c r="D29" t="s">
        <v>506</v>
      </c>
      <c r="E29" t="s">
        <v>536</v>
      </c>
      <c r="F29" t="s">
        <v>537</v>
      </c>
      <c r="G29" t="s">
        <v>538</v>
      </c>
      <c r="H29" t="s">
        <v>488</v>
      </c>
      <c r="I29" t="s">
        <v>539</v>
      </c>
      <c r="J29" t="s">
        <v>540</v>
      </c>
      <c r="K29" t="s">
        <v>541</v>
      </c>
      <c r="L29" t="s">
        <v>542</v>
      </c>
      <c r="M29" t="s">
        <v>543</v>
      </c>
      <c r="N29" t="s">
        <v>534</v>
      </c>
      <c r="O29" t="s">
        <v>535</v>
      </c>
    </row>
    <row r="30" spans="3:15" x14ac:dyDescent="0.3">
      <c r="C30" t="s">
        <v>544</v>
      </c>
      <c r="D30" t="s">
        <v>506</v>
      </c>
      <c r="E30" t="s">
        <v>526</v>
      </c>
      <c r="F30" t="s">
        <v>545</v>
      </c>
      <c r="G30" t="s">
        <v>546</v>
      </c>
      <c r="H30" t="s">
        <v>547</v>
      </c>
      <c r="I30" t="s">
        <v>548</v>
      </c>
      <c r="J30" t="s">
        <v>549</v>
      </c>
      <c r="K30" t="s">
        <v>550</v>
      </c>
      <c r="L30" t="s">
        <v>551</v>
      </c>
    </row>
    <row r="31" spans="3:15" x14ac:dyDescent="0.3">
      <c r="C31" t="s">
        <v>544</v>
      </c>
      <c r="D31" t="s">
        <v>506</v>
      </c>
      <c r="E31" t="s">
        <v>552</v>
      </c>
      <c r="F31" t="s">
        <v>553</v>
      </c>
      <c r="G31" t="s">
        <v>554</v>
      </c>
      <c r="H31" t="s">
        <v>555</v>
      </c>
      <c r="I31" t="s">
        <v>556</v>
      </c>
      <c r="J31" t="s">
        <v>557</v>
      </c>
      <c r="K31" t="s">
        <v>558</v>
      </c>
      <c r="L31" t="s">
        <v>559</v>
      </c>
      <c r="M31" t="s">
        <v>560</v>
      </c>
      <c r="N31" t="s">
        <v>561</v>
      </c>
    </row>
    <row r="32" spans="3:15" x14ac:dyDescent="0.3">
      <c r="C32" t="s">
        <v>562</v>
      </c>
      <c r="D32" t="s">
        <v>506</v>
      </c>
      <c r="E32" t="s">
        <v>526</v>
      </c>
      <c r="F32" t="s">
        <v>563</v>
      </c>
      <c r="G32" t="s">
        <v>564</v>
      </c>
      <c r="H32" t="s">
        <v>565</v>
      </c>
      <c r="I32" t="s">
        <v>548</v>
      </c>
      <c r="J32" t="s">
        <v>549</v>
      </c>
      <c r="K32" t="s">
        <v>566</v>
      </c>
      <c r="L32" t="s">
        <v>567</v>
      </c>
    </row>
    <row r="33" spans="3:12" x14ac:dyDescent="0.3">
      <c r="C33" t="s">
        <v>568</v>
      </c>
      <c r="D33" t="s">
        <v>506</v>
      </c>
      <c r="E33" t="s">
        <v>526</v>
      </c>
      <c r="F33" t="s">
        <v>563</v>
      </c>
      <c r="G33" t="s">
        <v>564</v>
      </c>
      <c r="H33" t="s">
        <v>569</v>
      </c>
      <c r="I33" t="s">
        <v>548</v>
      </c>
      <c r="J33" t="s">
        <v>549</v>
      </c>
      <c r="K33" t="s">
        <v>570</v>
      </c>
      <c r="L33" t="s">
        <v>571</v>
      </c>
    </row>
    <row r="34" spans="3:12" x14ac:dyDescent="0.3">
      <c r="C34" t="s">
        <v>572</v>
      </c>
      <c r="D34" t="s">
        <v>573</v>
      </c>
      <c r="E34" t="s">
        <v>526</v>
      </c>
      <c r="F34" t="s">
        <v>563</v>
      </c>
      <c r="G34" t="s">
        <v>564</v>
      </c>
      <c r="H34" t="s">
        <v>574</v>
      </c>
      <c r="I34" t="s">
        <v>575</v>
      </c>
      <c r="J34" t="s">
        <v>549</v>
      </c>
      <c r="K34" t="s">
        <v>576</v>
      </c>
      <c r="L34" t="s">
        <v>571</v>
      </c>
    </row>
    <row r="35" spans="3:12" x14ac:dyDescent="0.3">
      <c r="C35" t="s">
        <v>577</v>
      </c>
      <c r="D35" t="s">
        <v>506</v>
      </c>
      <c r="E35" t="s">
        <v>526</v>
      </c>
      <c r="F35" t="s">
        <v>563</v>
      </c>
      <c r="G35" t="s">
        <v>564</v>
      </c>
      <c r="H35" t="s">
        <v>578</v>
      </c>
      <c r="I35" t="s">
        <v>579</v>
      </c>
      <c r="J35" t="s">
        <v>549</v>
      </c>
      <c r="K35" t="s">
        <v>580</v>
      </c>
      <c r="L35" t="s">
        <v>571</v>
      </c>
    </row>
    <row r="36" spans="3:12" x14ac:dyDescent="0.3">
      <c r="C36" t="s">
        <v>581</v>
      </c>
      <c r="D36" t="s">
        <v>506</v>
      </c>
      <c r="E36" t="s">
        <v>526</v>
      </c>
      <c r="F36" t="s">
        <v>582</v>
      </c>
      <c r="G36" t="s">
        <v>583</v>
      </c>
      <c r="H36" t="s">
        <v>578</v>
      </c>
      <c r="I36" t="s">
        <v>32</v>
      </c>
      <c r="J36" t="s">
        <v>549</v>
      </c>
      <c r="K36" t="s">
        <v>32</v>
      </c>
      <c r="L36" t="s">
        <v>584</v>
      </c>
    </row>
    <row r="37" spans="3:12" x14ac:dyDescent="0.3">
      <c r="C37" t="s">
        <v>581</v>
      </c>
      <c r="D37" t="s">
        <v>506</v>
      </c>
      <c r="E37" t="s">
        <v>526</v>
      </c>
      <c r="F37" t="s">
        <v>563</v>
      </c>
      <c r="G37" t="s">
        <v>585</v>
      </c>
      <c r="H37" t="s">
        <v>578</v>
      </c>
      <c r="I37" t="s">
        <v>32</v>
      </c>
      <c r="J37" t="s">
        <v>549</v>
      </c>
      <c r="K37" t="s">
        <v>32</v>
      </c>
      <c r="L37" t="s">
        <v>584</v>
      </c>
    </row>
    <row r="38" spans="3:12" x14ac:dyDescent="0.3">
      <c r="C38" t="s">
        <v>453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31"/>
  <sheetViews>
    <sheetView workbookViewId="0">
      <selection activeCell="I14" sqref="I14"/>
    </sheetView>
  </sheetViews>
  <sheetFormatPr defaultRowHeight="14.4" x14ac:dyDescent="0.3"/>
  <cols>
    <col min="1" max="1" width="18.33203125" bestFit="1" customWidth="1"/>
    <col min="2" max="2" width="7.44140625" bestFit="1" customWidth="1"/>
    <col min="3" max="3" width="13.33203125" bestFit="1" customWidth="1"/>
    <col min="4" max="4" width="8" bestFit="1" customWidth="1"/>
    <col min="5" max="5" width="10.109375" bestFit="1" customWidth="1"/>
    <col min="9" max="9" width="47.109375" style="1" customWidth="1"/>
  </cols>
  <sheetData>
    <row r="3" spans="1:10" x14ac:dyDescent="0.3">
      <c r="A3" t="s">
        <v>714</v>
      </c>
      <c r="B3" t="s">
        <v>715</v>
      </c>
      <c r="C3" t="s">
        <v>716</v>
      </c>
      <c r="D3" t="s">
        <v>717</v>
      </c>
      <c r="E3" t="s">
        <v>718</v>
      </c>
      <c r="F3" t="s">
        <v>719</v>
      </c>
      <c r="G3" t="s">
        <v>720</v>
      </c>
      <c r="H3" t="s">
        <v>721</v>
      </c>
      <c r="I3" s="1" t="s">
        <v>722</v>
      </c>
      <c r="J3" t="s">
        <v>723</v>
      </c>
    </row>
    <row r="5" spans="1:10" x14ac:dyDescent="0.3">
      <c r="A5" t="s">
        <v>692</v>
      </c>
      <c r="B5" t="s">
        <v>25</v>
      </c>
      <c r="C5" t="s">
        <v>526</v>
      </c>
      <c r="D5" t="s">
        <v>693</v>
      </c>
      <c r="E5" t="s">
        <v>694</v>
      </c>
      <c r="F5" t="s">
        <v>695</v>
      </c>
      <c r="G5" t="s">
        <v>588</v>
      </c>
      <c r="H5" t="s">
        <v>692</v>
      </c>
      <c r="I5" s="1" t="s">
        <v>696</v>
      </c>
      <c r="J5" t="s">
        <v>697</v>
      </c>
    </row>
    <row r="6" spans="1:10" x14ac:dyDescent="0.3">
      <c r="A6" t="s">
        <v>692</v>
      </c>
      <c r="B6" t="s">
        <v>110</v>
      </c>
      <c r="C6" t="s">
        <v>526</v>
      </c>
      <c r="D6" t="s">
        <v>693</v>
      </c>
      <c r="E6" t="s">
        <v>698</v>
      </c>
      <c r="F6" t="s">
        <v>699</v>
      </c>
      <c r="G6" t="s">
        <v>588</v>
      </c>
      <c r="H6" t="s">
        <v>692</v>
      </c>
      <c r="I6" s="1" t="s">
        <v>696</v>
      </c>
      <c r="J6" t="s">
        <v>700</v>
      </c>
    </row>
    <row r="7" spans="1:10" x14ac:dyDescent="0.3">
      <c r="A7" t="s">
        <v>692</v>
      </c>
      <c r="B7" t="s">
        <v>701</v>
      </c>
      <c r="C7" t="s">
        <v>526</v>
      </c>
      <c r="D7" t="s">
        <v>693</v>
      </c>
      <c r="E7" t="s">
        <v>702</v>
      </c>
      <c r="F7" t="s">
        <v>699</v>
      </c>
      <c r="G7" t="s">
        <v>480</v>
      </c>
      <c r="H7" t="s">
        <v>692</v>
      </c>
      <c r="I7" s="1" t="s">
        <v>703</v>
      </c>
      <c r="J7" t="s">
        <v>700</v>
      </c>
    </row>
    <row r="8" spans="1:10" x14ac:dyDescent="0.3">
      <c r="A8" t="s">
        <v>692</v>
      </c>
      <c r="B8" t="s">
        <v>326</v>
      </c>
      <c r="C8" t="s">
        <v>536</v>
      </c>
      <c r="D8" t="s">
        <v>704</v>
      </c>
      <c r="E8" t="s">
        <v>705</v>
      </c>
      <c r="F8" t="s">
        <v>32</v>
      </c>
      <c r="G8" t="s">
        <v>706</v>
      </c>
      <c r="H8" t="s">
        <v>692</v>
      </c>
      <c r="I8" s="1" t="s">
        <v>703</v>
      </c>
      <c r="J8" t="s">
        <v>32</v>
      </c>
    </row>
    <row r="9" spans="1:10" x14ac:dyDescent="0.3">
      <c r="A9" t="s">
        <v>692</v>
      </c>
      <c r="B9" t="s">
        <v>707</v>
      </c>
      <c r="C9" t="s">
        <v>616</v>
      </c>
      <c r="D9" t="s">
        <v>708</v>
      </c>
      <c r="E9" t="s">
        <v>705</v>
      </c>
      <c r="F9" t="s">
        <v>709</v>
      </c>
      <c r="G9" t="s">
        <v>32</v>
      </c>
      <c r="H9" t="s">
        <v>692</v>
      </c>
      <c r="I9" s="1" t="s">
        <v>703</v>
      </c>
      <c r="J9" t="s">
        <v>710</v>
      </c>
    </row>
    <row r="12" spans="1:10" x14ac:dyDescent="0.3">
      <c r="A12" t="s">
        <v>586</v>
      </c>
      <c r="B12" t="s">
        <v>25</v>
      </c>
      <c r="C12" t="s">
        <v>526</v>
      </c>
      <c r="D12" t="s">
        <v>609</v>
      </c>
      <c r="E12" t="s">
        <v>726</v>
      </c>
      <c r="F12" t="s">
        <v>587</v>
      </c>
      <c r="G12" t="s">
        <v>588</v>
      </c>
      <c r="H12" t="s">
        <v>589</v>
      </c>
      <c r="I12" s="1" t="s">
        <v>590</v>
      </c>
      <c r="J12" t="s">
        <v>591</v>
      </c>
    </row>
    <row r="13" spans="1:10" x14ac:dyDescent="0.3">
      <c r="A13" t="s">
        <v>586</v>
      </c>
      <c r="B13" t="s">
        <v>326</v>
      </c>
      <c r="C13" t="s">
        <v>526</v>
      </c>
      <c r="D13" t="s">
        <v>599</v>
      </c>
      <c r="E13" t="s">
        <v>724</v>
      </c>
      <c r="F13" t="s">
        <v>587</v>
      </c>
      <c r="G13" t="s">
        <v>32</v>
      </c>
      <c r="H13" t="s">
        <v>592</v>
      </c>
      <c r="I13" s="1" t="s">
        <v>593</v>
      </c>
      <c r="J13" t="s">
        <v>594</v>
      </c>
    </row>
    <row r="14" spans="1:10" x14ac:dyDescent="0.3">
      <c r="A14" t="s">
        <v>586</v>
      </c>
      <c r="B14" t="s">
        <v>326</v>
      </c>
      <c r="C14" t="s">
        <v>536</v>
      </c>
      <c r="D14" t="s">
        <v>595</v>
      </c>
      <c r="E14" t="s">
        <v>725</v>
      </c>
      <c r="F14" t="s">
        <v>596</v>
      </c>
      <c r="G14" t="s">
        <v>32</v>
      </c>
      <c r="H14" t="s">
        <v>592</v>
      </c>
      <c r="I14" s="1" t="s">
        <v>597</v>
      </c>
      <c r="J14" t="s">
        <v>594</v>
      </c>
    </row>
    <row r="16" spans="1:10" x14ac:dyDescent="0.3">
      <c r="A16" t="s">
        <v>598</v>
      </c>
      <c r="B16" t="s">
        <v>326</v>
      </c>
      <c r="C16" t="s">
        <v>526</v>
      </c>
      <c r="D16" t="s">
        <v>599</v>
      </c>
      <c r="E16" t="s">
        <v>698</v>
      </c>
      <c r="F16" t="s">
        <v>32</v>
      </c>
      <c r="G16" t="s">
        <v>601</v>
      </c>
      <c r="H16" t="s">
        <v>602</v>
      </c>
      <c r="I16" s="1" t="s">
        <v>603</v>
      </c>
      <c r="J16" t="s">
        <v>604</v>
      </c>
    </row>
    <row r="17" spans="1:10" x14ac:dyDescent="0.3">
      <c r="A17" t="s">
        <v>598</v>
      </c>
      <c r="B17" t="s">
        <v>326</v>
      </c>
      <c r="C17" t="s">
        <v>536</v>
      </c>
      <c r="D17" t="s">
        <v>595</v>
      </c>
      <c r="E17" t="s">
        <v>605</v>
      </c>
      <c r="F17" t="s">
        <v>32</v>
      </c>
      <c r="G17" t="s">
        <v>606</v>
      </c>
      <c r="H17" t="s">
        <v>592</v>
      </c>
      <c r="I17" s="1" t="s">
        <v>607</v>
      </c>
      <c r="J17" t="s">
        <v>604</v>
      </c>
    </row>
    <row r="19" spans="1:10" ht="43.2" x14ac:dyDescent="0.3">
      <c r="A19" t="s">
        <v>608</v>
      </c>
      <c r="B19" t="s">
        <v>326</v>
      </c>
      <c r="C19" t="s">
        <v>526</v>
      </c>
      <c r="D19" t="s">
        <v>609</v>
      </c>
      <c r="E19" t="s">
        <v>600</v>
      </c>
      <c r="F19" t="s">
        <v>610</v>
      </c>
      <c r="G19" t="s">
        <v>548</v>
      </c>
      <c r="H19" t="s">
        <v>611</v>
      </c>
      <c r="I19" s="1" t="s">
        <v>550</v>
      </c>
      <c r="J19" t="s">
        <v>561</v>
      </c>
    </row>
    <row r="20" spans="1:10" ht="28.8" x14ac:dyDescent="0.3">
      <c r="A20" t="s">
        <v>608</v>
      </c>
      <c r="B20" t="s">
        <v>326</v>
      </c>
      <c r="C20" t="s">
        <v>536</v>
      </c>
      <c r="D20" t="s">
        <v>612</v>
      </c>
      <c r="E20" t="s">
        <v>613</v>
      </c>
      <c r="F20" t="s">
        <v>555</v>
      </c>
      <c r="G20" t="s">
        <v>556</v>
      </c>
      <c r="H20" t="s">
        <v>592</v>
      </c>
      <c r="I20" s="1" t="s">
        <v>614</v>
      </c>
      <c r="J20" t="s">
        <v>561</v>
      </c>
    </row>
    <row r="22" spans="1:10" x14ac:dyDescent="0.3">
      <c r="A22" t="s">
        <v>615</v>
      </c>
      <c r="B22" t="s">
        <v>326</v>
      </c>
      <c r="C22" t="s">
        <v>526</v>
      </c>
      <c r="D22" t="s">
        <v>616</v>
      </c>
      <c r="E22" t="s">
        <v>617</v>
      </c>
      <c r="F22" t="s">
        <v>618</v>
      </c>
      <c r="G22" t="s">
        <v>548</v>
      </c>
      <c r="H22" t="s">
        <v>611</v>
      </c>
      <c r="I22" s="1" t="s">
        <v>566</v>
      </c>
      <c r="J22" t="s">
        <v>619</v>
      </c>
    </row>
    <row r="25" spans="1:10" ht="43.2" x14ac:dyDescent="0.3">
      <c r="A25" t="s">
        <v>620</v>
      </c>
      <c r="B25" t="s">
        <v>326</v>
      </c>
      <c r="C25" t="s">
        <v>526</v>
      </c>
      <c r="D25" t="s">
        <v>616</v>
      </c>
      <c r="E25" t="s">
        <v>617</v>
      </c>
      <c r="F25" t="s">
        <v>621</v>
      </c>
      <c r="G25" t="s">
        <v>548</v>
      </c>
      <c r="H25" t="s">
        <v>611</v>
      </c>
      <c r="I25" s="1" t="s">
        <v>570</v>
      </c>
      <c r="J25" t="s">
        <v>622</v>
      </c>
    </row>
    <row r="26" spans="1:10" ht="28.8" x14ac:dyDescent="0.3">
      <c r="A26" t="s">
        <v>623</v>
      </c>
      <c r="B26" t="s">
        <v>326</v>
      </c>
      <c r="C26" t="s">
        <v>526</v>
      </c>
      <c r="D26" t="s">
        <v>616</v>
      </c>
      <c r="E26" t="s">
        <v>617</v>
      </c>
      <c r="F26" t="s">
        <v>624</v>
      </c>
      <c r="G26" t="s">
        <v>575</v>
      </c>
      <c r="H26" t="s">
        <v>611</v>
      </c>
      <c r="I26" s="1" t="s">
        <v>576</v>
      </c>
      <c r="J26" t="s">
        <v>622</v>
      </c>
    </row>
    <row r="27" spans="1:10" x14ac:dyDescent="0.3">
      <c r="A27" t="s">
        <v>241</v>
      </c>
      <c r="B27" t="s">
        <v>326</v>
      </c>
      <c r="C27" t="s">
        <v>526</v>
      </c>
      <c r="D27" t="s">
        <v>616</v>
      </c>
      <c r="E27" t="s">
        <v>617</v>
      </c>
      <c r="F27" t="s">
        <v>625</v>
      </c>
      <c r="G27" t="s">
        <v>579</v>
      </c>
      <c r="H27" t="s">
        <v>611</v>
      </c>
      <c r="I27" s="1" t="s">
        <v>580</v>
      </c>
      <c r="J27" t="s">
        <v>622</v>
      </c>
    </row>
    <row r="30" spans="1:10" x14ac:dyDescent="0.3">
      <c r="A30" t="s">
        <v>711</v>
      </c>
      <c r="B30" t="s">
        <v>326</v>
      </c>
      <c r="C30" t="s">
        <v>526</v>
      </c>
      <c r="D30" t="s">
        <v>693</v>
      </c>
      <c r="E30" t="s">
        <v>712</v>
      </c>
      <c r="F30" t="s">
        <v>625</v>
      </c>
      <c r="G30" t="s">
        <v>32</v>
      </c>
      <c r="H30" t="s">
        <v>611</v>
      </c>
      <c r="I30" s="1" t="s">
        <v>32</v>
      </c>
      <c r="J30" t="s">
        <v>648</v>
      </c>
    </row>
    <row r="31" spans="1:10" x14ac:dyDescent="0.3">
      <c r="A31" t="s">
        <v>711</v>
      </c>
      <c r="B31" t="s">
        <v>326</v>
      </c>
      <c r="C31" t="s">
        <v>526</v>
      </c>
      <c r="D31" t="s">
        <v>616</v>
      </c>
      <c r="E31" t="s">
        <v>713</v>
      </c>
      <c r="F31" t="s">
        <v>625</v>
      </c>
      <c r="G31" t="s">
        <v>32</v>
      </c>
      <c r="H31" t="s">
        <v>611</v>
      </c>
      <c r="I31" s="1" t="s">
        <v>32</v>
      </c>
      <c r="J31" t="s">
        <v>648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tabSelected="1" workbookViewId="0">
      <selection activeCell="A2" sqref="A2:I2"/>
    </sheetView>
  </sheetViews>
  <sheetFormatPr defaultRowHeight="14.4" x14ac:dyDescent="0.3"/>
  <cols>
    <col min="1" max="9" width="21.5546875" customWidth="1"/>
    <col min="10" max="10" width="33.6640625" customWidth="1"/>
  </cols>
  <sheetData>
    <row r="1" spans="1:10" x14ac:dyDescent="0.3">
      <c r="A1" t="s">
        <v>902</v>
      </c>
      <c r="C1" s="5" t="s">
        <v>886</v>
      </c>
      <c r="D1" s="5" t="s">
        <v>903</v>
      </c>
    </row>
    <row r="2" spans="1:10" ht="72" customHeight="1" thickBot="1" x14ac:dyDescent="0.35">
      <c r="A2" s="16" t="s">
        <v>882</v>
      </c>
      <c r="B2" s="16"/>
      <c r="C2" s="16"/>
      <c r="D2" s="16"/>
      <c r="E2" s="16"/>
      <c r="F2" s="16"/>
      <c r="G2" s="16"/>
      <c r="H2" s="16"/>
      <c r="I2" s="16"/>
    </row>
    <row r="3" spans="1:10" ht="28.2" thickBot="1" x14ac:dyDescent="0.35">
      <c r="A3" s="9" t="s">
        <v>850</v>
      </c>
      <c r="B3" s="9" t="s">
        <v>851</v>
      </c>
      <c r="C3" s="9" t="s">
        <v>852</v>
      </c>
      <c r="D3" s="9" t="s">
        <v>853</v>
      </c>
      <c r="F3" s="9" t="s">
        <v>850</v>
      </c>
      <c r="G3" s="9" t="s">
        <v>871</v>
      </c>
      <c r="H3" s="9" t="s">
        <v>872</v>
      </c>
      <c r="I3" s="9" t="s">
        <v>873</v>
      </c>
    </row>
    <row r="4" spans="1:10" ht="157.80000000000001" thickBot="1" x14ac:dyDescent="0.35">
      <c r="A4" s="9" t="s">
        <v>586</v>
      </c>
      <c r="B4" s="9" t="s">
        <v>854</v>
      </c>
      <c r="C4" s="10" t="s">
        <v>855</v>
      </c>
      <c r="D4" s="10" t="s">
        <v>856</v>
      </c>
      <c r="F4" s="9" t="s">
        <v>586</v>
      </c>
      <c r="G4" s="10" t="s">
        <v>854</v>
      </c>
      <c r="H4" s="9" t="s">
        <v>880</v>
      </c>
      <c r="I4" s="10" t="s">
        <v>874</v>
      </c>
      <c r="J4" s="15" t="s">
        <v>881</v>
      </c>
    </row>
    <row r="5" spans="1:10" ht="69.599999999999994" thickBot="1" x14ac:dyDescent="0.35">
      <c r="A5" s="9" t="s">
        <v>857</v>
      </c>
      <c r="B5" s="9" t="s">
        <v>858</v>
      </c>
      <c r="C5" s="10" t="s">
        <v>859</v>
      </c>
      <c r="D5" s="10" t="s">
        <v>860</v>
      </c>
      <c r="F5" s="9" t="s">
        <v>857</v>
      </c>
      <c r="G5" s="10" t="s">
        <v>858</v>
      </c>
      <c r="H5" s="10" t="s">
        <v>875</v>
      </c>
      <c r="I5" s="10" t="s">
        <v>876</v>
      </c>
    </row>
    <row r="6" spans="1:10" ht="55.8" thickBot="1" x14ac:dyDescent="0.35">
      <c r="A6" s="9" t="s">
        <v>861</v>
      </c>
      <c r="B6" s="9" t="s">
        <v>862</v>
      </c>
      <c r="C6" s="10" t="s">
        <v>863</v>
      </c>
      <c r="D6" s="10" t="s">
        <v>864</v>
      </c>
      <c r="F6" s="9" t="s">
        <v>861</v>
      </c>
      <c r="G6" s="10" t="s">
        <v>862</v>
      </c>
      <c r="H6" s="10" t="s">
        <v>875</v>
      </c>
      <c r="I6" s="10" t="s">
        <v>877</v>
      </c>
    </row>
    <row r="7" spans="1:10" ht="69.599999999999994" thickBot="1" x14ac:dyDescent="0.35">
      <c r="A7" s="9" t="s">
        <v>865</v>
      </c>
      <c r="B7" s="9" t="s">
        <v>858</v>
      </c>
      <c r="C7" s="10" t="s">
        <v>866</v>
      </c>
      <c r="D7" s="10" t="s">
        <v>867</v>
      </c>
      <c r="F7" s="9" t="s">
        <v>865</v>
      </c>
      <c r="G7" s="10" t="s">
        <v>858</v>
      </c>
      <c r="H7" s="10" t="s">
        <v>875</v>
      </c>
      <c r="I7" s="10" t="s">
        <v>878</v>
      </c>
    </row>
    <row r="8" spans="1:10" ht="83.4" thickBot="1" x14ac:dyDescent="0.35">
      <c r="A8" s="9" t="s">
        <v>608</v>
      </c>
      <c r="B8" s="9" t="s">
        <v>868</v>
      </c>
      <c r="C8" s="10" t="s">
        <v>869</v>
      </c>
      <c r="D8" s="10" t="s">
        <v>870</v>
      </c>
      <c r="F8" s="9" t="s">
        <v>608</v>
      </c>
      <c r="G8" s="10" t="s">
        <v>868</v>
      </c>
      <c r="H8" s="10" t="s">
        <v>875</v>
      </c>
      <c r="I8" s="10" t="s">
        <v>879</v>
      </c>
    </row>
  </sheetData>
  <mergeCells count="1">
    <mergeCell ref="A2:I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25"/>
  <sheetViews>
    <sheetView workbookViewId="0">
      <selection activeCell="F18" sqref="F18"/>
    </sheetView>
  </sheetViews>
  <sheetFormatPr defaultRowHeight="14.4" x14ac:dyDescent="0.3"/>
  <cols>
    <col min="3" max="3" width="46.109375" bestFit="1" customWidth="1"/>
    <col min="5" max="5" width="46.109375" bestFit="1" customWidth="1"/>
  </cols>
  <sheetData>
    <row r="2" spans="1:6" x14ac:dyDescent="0.3">
      <c r="A2" t="s">
        <v>660</v>
      </c>
      <c r="C2" t="s">
        <v>662</v>
      </c>
      <c r="E2" t="s">
        <v>658</v>
      </c>
    </row>
    <row r="3" spans="1:6" x14ac:dyDescent="0.3">
      <c r="C3" t="s">
        <v>663</v>
      </c>
      <c r="E3" t="s">
        <v>651</v>
      </c>
    </row>
    <row r="4" spans="1:6" x14ac:dyDescent="0.3">
      <c r="C4" t="s">
        <v>664</v>
      </c>
      <c r="E4" t="s">
        <v>659</v>
      </c>
    </row>
    <row r="5" spans="1:6" x14ac:dyDescent="0.3">
      <c r="C5" t="s">
        <v>669</v>
      </c>
      <c r="E5" t="s">
        <v>652</v>
      </c>
    </row>
    <row r="6" spans="1:6" x14ac:dyDescent="0.3">
      <c r="C6" t="s">
        <v>670</v>
      </c>
      <c r="E6" t="s">
        <v>661</v>
      </c>
    </row>
    <row r="7" spans="1:6" x14ac:dyDescent="0.3">
      <c r="C7" t="s">
        <v>671</v>
      </c>
      <c r="E7" t="s">
        <v>653</v>
      </c>
    </row>
    <row r="8" spans="1:6" x14ac:dyDescent="0.3">
      <c r="C8" t="s">
        <v>672</v>
      </c>
      <c r="E8" t="s">
        <v>654</v>
      </c>
    </row>
    <row r="9" spans="1:6" x14ac:dyDescent="0.3">
      <c r="C9" t="s">
        <v>673</v>
      </c>
      <c r="E9" t="s">
        <v>655</v>
      </c>
    </row>
    <row r="10" spans="1:6" x14ac:dyDescent="0.3">
      <c r="C10" t="s">
        <v>665</v>
      </c>
      <c r="E10" s="3" t="s">
        <v>656</v>
      </c>
    </row>
    <row r="11" spans="1:6" x14ac:dyDescent="0.3">
      <c r="C11" t="s">
        <v>674</v>
      </c>
      <c r="E11" t="s">
        <v>657</v>
      </c>
    </row>
    <row r="12" spans="1:6" x14ac:dyDescent="0.3">
      <c r="C12" s="3" t="s">
        <v>666</v>
      </c>
    </row>
    <row r="13" spans="1:6" x14ac:dyDescent="0.3">
      <c r="C13" t="s">
        <v>667</v>
      </c>
    </row>
    <row r="14" spans="1:6" x14ac:dyDescent="0.3">
      <c r="C14" t="s">
        <v>675</v>
      </c>
      <c r="E14" t="s">
        <v>686</v>
      </c>
      <c r="F14">
        <v>150</v>
      </c>
    </row>
    <row r="15" spans="1:6" x14ac:dyDescent="0.3">
      <c r="C15" s="3" t="s">
        <v>668</v>
      </c>
      <c r="E15" t="s">
        <v>687</v>
      </c>
      <c r="F15">
        <v>1</v>
      </c>
    </row>
    <row r="16" spans="1:6" x14ac:dyDescent="0.3">
      <c r="C16" t="s">
        <v>676</v>
      </c>
      <c r="E16" t="s">
        <v>688</v>
      </c>
      <c r="F16">
        <v>120</v>
      </c>
    </row>
    <row r="17" spans="3:6" x14ac:dyDescent="0.3">
      <c r="C17" s="3" t="s">
        <v>680</v>
      </c>
      <c r="E17" t="s">
        <v>689</v>
      </c>
      <c r="F17">
        <f>F14+F16</f>
        <v>270</v>
      </c>
    </row>
    <row r="18" spans="3:6" x14ac:dyDescent="0.3">
      <c r="C18" s="3" t="s">
        <v>681</v>
      </c>
    </row>
    <row r="19" spans="3:6" x14ac:dyDescent="0.3">
      <c r="C19" s="3" t="s">
        <v>682</v>
      </c>
    </row>
    <row r="20" spans="3:6" x14ac:dyDescent="0.3">
      <c r="C20" t="s">
        <v>683</v>
      </c>
    </row>
    <row r="21" spans="3:6" x14ac:dyDescent="0.3">
      <c r="C21" t="s">
        <v>684</v>
      </c>
    </row>
    <row r="22" spans="3:6" x14ac:dyDescent="0.3">
      <c r="C22" t="s">
        <v>685</v>
      </c>
    </row>
    <row r="23" spans="3:6" x14ac:dyDescent="0.3">
      <c r="C23" t="s">
        <v>677</v>
      </c>
    </row>
    <row r="24" spans="3:6" x14ac:dyDescent="0.3">
      <c r="C24" t="s">
        <v>678</v>
      </c>
    </row>
    <row r="25" spans="3:6" x14ac:dyDescent="0.3">
      <c r="C25" t="s">
        <v>679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topLeftCell="B1" workbookViewId="0">
      <selection activeCell="B1" sqref="B1"/>
    </sheetView>
  </sheetViews>
  <sheetFormatPr defaultRowHeight="14.4" x14ac:dyDescent="0.3"/>
  <cols>
    <col min="1" max="1" width="72.88671875" customWidth="1"/>
    <col min="2" max="2" width="10.33203125" bestFit="1" customWidth="1"/>
    <col min="3" max="3" width="12.88671875" bestFit="1" customWidth="1"/>
    <col min="4" max="4" width="10.44140625" bestFit="1" customWidth="1"/>
    <col min="5" max="5" width="12.21875" bestFit="1" customWidth="1"/>
    <col min="6" max="6" width="10.6640625" bestFit="1" customWidth="1"/>
    <col min="7" max="7" width="19.5546875" customWidth="1"/>
    <col min="8" max="8" width="15.5546875" bestFit="1" customWidth="1"/>
    <col min="9" max="9" width="44.77734375" style="1" customWidth="1"/>
    <col min="10" max="10" width="58.33203125" customWidth="1"/>
  </cols>
  <sheetData>
    <row r="1" spans="1:8" x14ac:dyDescent="0.3">
      <c r="B1" t="s">
        <v>632</v>
      </c>
    </row>
    <row r="2" spans="1:8" ht="28.8" x14ac:dyDescent="0.3">
      <c r="A2" t="s">
        <v>754</v>
      </c>
      <c r="B2" t="s">
        <v>752</v>
      </c>
      <c r="C2" s="1" t="s">
        <v>755</v>
      </c>
      <c r="H2" t="s">
        <v>756</v>
      </c>
    </row>
    <row r="3" spans="1:8" x14ac:dyDescent="0.3">
      <c r="A3" t="s">
        <v>758</v>
      </c>
      <c r="H3" t="s">
        <v>761</v>
      </c>
    </row>
    <row r="4" spans="1:8" ht="316.2" customHeight="1" x14ac:dyDescent="0.3">
      <c r="A4" s="1" t="s">
        <v>757</v>
      </c>
    </row>
    <row r="6" spans="1:8" x14ac:dyDescent="0.3">
      <c r="A6" s="5" t="s">
        <v>759</v>
      </c>
    </row>
    <row r="7" spans="1:8" x14ac:dyDescent="0.3">
      <c r="A7" t="s">
        <v>760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2"/>
  <sheetViews>
    <sheetView workbookViewId="0">
      <selection activeCell="M11" sqref="M11:M12"/>
    </sheetView>
  </sheetViews>
  <sheetFormatPr defaultRowHeight="14.4" x14ac:dyDescent="0.3"/>
  <cols>
    <col min="2" max="2" width="25.88671875" customWidth="1"/>
    <col min="13" max="13" width="31.21875" customWidth="1"/>
    <col min="16" max="16" width="10.33203125" bestFit="1" customWidth="1"/>
    <col min="18" max="18" width="95.5546875" bestFit="1" customWidth="1"/>
  </cols>
  <sheetData>
    <row r="1" spans="1:13" x14ac:dyDescent="0.3">
      <c r="A1" s="2" t="s">
        <v>843</v>
      </c>
    </row>
    <row r="2" spans="1:13" x14ac:dyDescent="0.3">
      <c r="B2" t="s">
        <v>727</v>
      </c>
    </row>
    <row r="3" spans="1:13" x14ac:dyDescent="0.3">
      <c r="B3" t="s">
        <v>728</v>
      </c>
    </row>
    <row r="5" spans="1:13" ht="17.399999999999999" x14ac:dyDescent="0.3">
      <c r="B5" t="s">
        <v>753</v>
      </c>
      <c r="M5" s="7" t="s">
        <v>883</v>
      </c>
    </row>
    <row r="6" spans="1:13" x14ac:dyDescent="0.3">
      <c r="B6" t="s">
        <v>453</v>
      </c>
    </row>
    <row r="7" spans="1:13" x14ac:dyDescent="0.3">
      <c r="C7" t="s">
        <v>749</v>
      </c>
      <c r="D7" t="s">
        <v>750</v>
      </c>
      <c r="E7" t="s">
        <v>752</v>
      </c>
      <c r="F7" t="s">
        <v>751</v>
      </c>
      <c r="M7" s="8" t="s">
        <v>884</v>
      </c>
    </row>
    <row r="8" spans="1:13" x14ac:dyDescent="0.3">
      <c r="B8" t="s">
        <v>729</v>
      </c>
      <c r="C8" t="s">
        <v>730</v>
      </c>
      <c r="D8" t="s">
        <v>731</v>
      </c>
      <c r="E8" t="s">
        <v>744</v>
      </c>
      <c r="F8" t="s">
        <v>745</v>
      </c>
    </row>
    <row r="9" spans="1:13" x14ac:dyDescent="0.3">
      <c r="B9" t="s">
        <v>747</v>
      </c>
      <c r="C9" s="4" t="s">
        <v>746</v>
      </c>
      <c r="D9" t="s">
        <v>732</v>
      </c>
      <c r="E9" t="s">
        <v>733</v>
      </c>
      <c r="F9" t="s">
        <v>734</v>
      </c>
      <c r="G9" t="s">
        <v>735</v>
      </c>
      <c r="H9" t="s">
        <v>736</v>
      </c>
      <c r="I9" t="s">
        <v>737</v>
      </c>
      <c r="M9" s="8" t="s">
        <v>885</v>
      </c>
    </row>
    <row r="10" spans="1:13" x14ac:dyDescent="0.3">
      <c r="B10" t="s">
        <v>748</v>
      </c>
      <c r="C10" t="s">
        <v>738</v>
      </c>
      <c r="D10" t="s">
        <v>739</v>
      </c>
      <c r="E10" t="s">
        <v>740</v>
      </c>
      <c r="F10" t="s">
        <v>741</v>
      </c>
      <c r="G10" t="s">
        <v>742</v>
      </c>
      <c r="H10" t="s">
        <v>736</v>
      </c>
      <c r="I10" t="s">
        <v>743</v>
      </c>
    </row>
    <row r="11" spans="1:13" x14ac:dyDescent="0.3">
      <c r="M11" s="5" t="s">
        <v>886</v>
      </c>
    </row>
    <row r="12" spans="1:13" x14ac:dyDescent="0.3">
      <c r="B12" t="s">
        <v>775</v>
      </c>
      <c r="M12" s="5" t="s">
        <v>899</v>
      </c>
    </row>
    <row r="13" spans="1:13" x14ac:dyDescent="0.3">
      <c r="B13" t="s">
        <v>635</v>
      </c>
      <c r="C13" t="s">
        <v>752</v>
      </c>
    </row>
    <row r="14" spans="1:13" x14ac:dyDescent="0.3">
      <c r="B14" t="s">
        <v>641</v>
      </c>
      <c r="C14" t="s">
        <v>777</v>
      </c>
      <c r="M14" t="s">
        <v>887</v>
      </c>
    </row>
    <row r="15" spans="1:13" x14ac:dyDescent="0.3">
      <c r="B15" t="s">
        <v>637</v>
      </c>
      <c r="C15" t="s">
        <v>776</v>
      </c>
      <c r="M15" t="s">
        <v>888</v>
      </c>
    </row>
    <row r="16" spans="1:13" x14ac:dyDescent="0.3">
      <c r="B16" t="s">
        <v>779</v>
      </c>
      <c r="C16" t="s">
        <v>780</v>
      </c>
      <c r="M16" t="s">
        <v>889</v>
      </c>
    </row>
    <row r="17" spans="2:14" x14ac:dyDescent="0.3">
      <c r="B17" t="s">
        <v>778</v>
      </c>
      <c r="C17" t="s">
        <v>842</v>
      </c>
      <c r="M17" t="s">
        <v>890</v>
      </c>
      <c r="N17" t="s">
        <v>892</v>
      </c>
    </row>
    <row r="18" spans="2:14" x14ac:dyDescent="0.3">
      <c r="M18" t="s">
        <v>891</v>
      </c>
    </row>
    <row r="19" spans="2:14" x14ac:dyDescent="0.3">
      <c r="B19" t="s">
        <v>897</v>
      </c>
      <c r="C19" t="s">
        <v>898</v>
      </c>
      <c r="M19" t="s">
        <v>893</v>
      </c>
    </row>
    <row r="20" spans="2:14" x14ac:dyDescent="0.3">
      <c r="M20" t="s">
        <v>894</v>
      </c>
    </row>
    <row r="21" spans="2:14" x14ac:dyDescent="0.3">
      <c r="M21" t="s">
        <v>895</v>
      </c>
    </row>
    <row r="22" spans="2:14" x14ac:dyDescent="0.3">
      <c r="M22" t="s">
        <v>896</v>
      </c>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16"/>
  <sheetViews>
    <sheetView zoomScale="85" zoomScaleNormal="85" workbookViewId="0">
      <selection activeCell="K1" sqref="K1"/>
    </sheetView>
  </sheetViews>
  <sheetFormatPr defaultRowHeight="14.4" x14ac:dyDescent="0.3"/>
  <cols>
    <col min="3" max="3" width="17.77734375" customWidth="1"/>
    <col min="4" max="4" width="17.109375" customWidth="1"/>
    <col min="5" max="5" width="13.44140625" customWidth="1"/>
    <col min="6" max="6" width="21.109375" customWidth="1"/>
  </cols>
  <sheetData>
    <row r="2" spans="2:9" ht="17.399999999999999" x14ac:dyDescent="0.3">
      <c r="B2" s="7" t="s">
        <v>781</v>
      </c>
    </row>
    <row r="4" spans="2:9" x14ac:dyDescent="0.3">
      <c r="B4" s="8" t="s">
        <v>782</v>
      </c>
    </row>
    <row r="5" spans="2:9" ht="15" thickBot="1" x14ac:dyDescent="0.35"/>
    <row r="6" spans="2:9" ht="55.8" thickBot="1" x14ac:dyDescent="0.35">
      <c r="B6" s="9" t="s">
        <v>783</v>
      </c>
      <c r="C6" s="9" t="s">
        <v>784</v>
      </c>
      <c r="D6" s="9" t="s">
        <v>785</v>
      </c>
      <c r="E6" s="9" t="s">
        <v>786</v>
      </c>
      <c r="F6" s="9" t="s">
        <v>787</v>
      </c>
      <c r="I6" s="14" t="s">
        <v>844</v>
      </c>
    </row>
    <row r="7" spans="2:9" ht="42" thickBot="1" x14ac:dyDescent="0.35">
      <c r="B7" s="9" t="s">
        <v>788</v>
      </c>
      <c r="C7" s="10" t="s">
        <v>789</v>
      </c>
      <c r="D7" s="10" t="s">
        <v>789</v>
      </c>
      <c r="E7" s="10" t="s">
        <v>790</v>
      </c>
      <c r="F7" s="10" t="s">
        <v>791</v>
      </c>
      <c r="I7" s="11"/>
    </row>
    <row r="8" spans="2:9" ht="28.2" thickBot="1" x14ac:dyDescent="0.35">
      <c r="B8" s="9" t="s">
        <v>792</v>
      </c>
      <c r="C8" s="10" t="s">
        <v>793</v>
      </c>
      <c r="D8" s="10" t="s">
        <v>794</v>
      </c>
      <c r="E8" s="10" t="s">
        <v>795</v>
      </c>
      <c r="F8" s="10" t="s">
        <v>796</v>
      </c>
      <c r="I8" s="13" t="s">
        <v>845</v>
      </c>
    </row>
    <row r="9" spans="2:9" ht="28.2" thickBot="1" x14ac:dyDescent="0.35">
      <c r="B9" s="9" t="s">
        <v>797</v>
      </c>
      <c r="C9" s="10" t="s">
        <v>798</v>
      </c>
      <c r="D9" s="10" t="s">
        <v>799</v>
      </c>
      <c r="E9" s="10" t="s">
        <v>800</v>
      </c>
      <c r="F9" s="10" t="s">
        <v>801</v>
      </c>
      <c r="I9" s="11"/>
    </row>
    <row r="10" spans="2:9" ht="55.8" thickBot="1" x14ac:dyDescent="0.35">
      <c r="B10" s="9" t="s">
        <v>802</v>
      </c>
      <c r="C10" s="10" t="s">
        <v>803</v>
      </c>
      <c r="D10" s="10" t="s">
        <v>804</v>
      </c>
      <c r="E10" s="10" t="s">
        <v>805</v>
      </c>
      <c r="F10" s="10" t="s">
        <v>806</v>
      </c>
      <c r="I10" s="13" t="s">
        <v>846</v>
      </c>
    </row>
    <row r="11" spans="2:9" ht="42" thickBot="1" x14ac:dyDescent="0.35">
      <c r="B11" s="9" t="s">
        <v>807</v>
      </c>
      <c r="C11" s="10" t="s">
        <v>808</v>
      </c>
      <c r="D11" s="10" t="s">
        <v>809</v>
      </c>
      <c r="E11" s="10" t="s">
        <v>810</v>
      </c>
      <c r="F11" s="10" t="s">
        <v>811</v>
      </c>
      <c r="I11" s="6"/>
    </row>
    <row r="12" spans="2:9" ht="42" thickBot="1" x14ac:dyDescent="0.35">
      <c r="B12" s="9" t="s">
        <v>812</v>
      </c>
      <c r="C12" s="10" t="s">
        <v>813</v>
      </c>
      <c r="D12" s="10" t="s">
        <v>814</v>
      </c>
      <c r="E12" s="10" t="s">
        <v>815</v>
      </c>
      <c r="F12" s="9" t="s">
        <v>816</v>
      </c>
      <c r="I12" s="14" t="s">
        <v>847</v>
      </c>
    </row>
    <row r="13" spans="2:9" ht="28.2" thickBot="1" x14ac:dyDescent="0.35">
      <c r="B13" s="9" t="s">
        <v>817</v>
      </c>
      <c r="C13" s="10" t="s">
        <v>818</v>
      </c>
      <c r="D13" s="10" t="s">
        <v>819</v>
      </c>
      <c r="E13" s="10" t="s">
        <v>820</v>
      </c>
      <c r="F13" s="9" t="s">
        <v>821</v>
      </c>
      <c r="I13" s="11"/>
    </row>
    <row r="14" spans="2:9" ht="42" thickBot="1" x14ac:dyDescent="0.35">
      <c r="B14" s="9" t="s">
        <v>822</v>
      </c>
      <c r="C14" s="10" t="s">
        <v>823</v>
      </c>
      <c r="D14" s="10" t="s">
        <v>824</v>
      </c>
      <c r="E14" s="10" t="s">
        <v>825</v>
      </c>
      <c r="F14" s="10" t="s">
        <v>826</v>
      </c>
      <c r="I14" s="13" t="s">
        <v>848</v>
      </c>
    </row>
    <row r="15" spans="2:9" ht="42" thickBot="1" x14ac:dyDescent="0.35">
      <c r="B15" s="9" t="s">
        <v>827</v>
      </c>
      <c r="C15" s="10" t="s">
        <v>828</v>
      </c>
      <c r="D15" s="10" t="s">
        <v>829</v>
      </c>
      <c r="E15" s="10" t="s">
        <v>830</v>
      </c>
      <c r="F15" s="10" t="s">
        <v>831</v>
      </c>
      <c r="I15" s="11"/>
    </row>
    <row r="16" spans="2:9" x14ac:dyDescent="0.3">
      <c r="I16" s="13" t="s">
        <v>849</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4"/>
  <sheetViews>
    <sheetView topLeftCell="A9" workbookViewId="0">
      <selection activeCell="B5" sqref="B5"/>
    </sheetView>
  </sheetViews>
  <sheetFormatPr defaultRowHeight="14.4" x14ac:dyDescent="0.3"/>
  <sheetData>
    <row r="1" spans="2:11" x14ac:dyDescent="0.3">
      <c r="B1" t="s">
        <v>648</v>
      </c>
    </row>
    <row r="2" spans="2:11" x14ac:dyDescent="0.3">
      <c r="B2" t="s">
        <v>769</v>
      </c>
      <c r="K2" t="s">
        <v>771</v>
      </c>
    </row>
    <row r="3" spans="2:11" x14ac:dyDescent="0.3">
      <c r="B3" t="s">
        <v>770</v>
      </c>
      <c r="K3" t="s">
        <v>772</v>
      </c>
    </row>
    <row r="4" spans="2:11" x14ac:dyDescent="0.3">
      <c r="B4" t="s">
        <v>774</v>
      </c>
      <c r="K4" t="s">
        <v>773</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9"/>
  <sheetViews>
    <sheetView workbookViewId="0">
      <selection activeCell="J15" sqref="J15:J29"/>
    </sheetView>
  </sheetViews>
  <sheetFormatPr defaultRowHeight="14.4" x14ac:dyDescent="0.3"/>
  <sheetData>
    <row r="1" spans="1:14" x14ac:dyDescent="0.3">
      <c r="A1" t="s">
        <v>626</v>
      </c>
      <c r="J1" t="s">
        <v>627</v>
      </c>
    </row>
    <row r="2" spans="1:14" x14ac:dyDescent="0.3">
      <c r="J2" t="s">
        <v>628</v>
      </c>
    </row>
    <row r="3" spans="1:14" x14ac:dyDescent="0.3">
      <c r="J3" t="s">
        <v>629</v>
      </c>
    </row>
    <row r="4" spans="1:14" x14ac:dyDescent="0.3">
      <c r="J4" t="s">
        <v>630</v>
      </c>
    </row>
    <row r="6" spans="1:14" x14ac:dyDescent="0.3">
      <c r="J6" t="s">
        <v>832</v>
      </c>
    </row>
    <row r="7" spans="1:14" x14ac:dyDescent="0.3">
      <c r="J7" t="s">
        <v>833</v>
      </c>
    </row>
    <row r="13" spans="1:14" x14ac:dyDescent="0.3">
      <c r="N13" t="s">
        <v>690</v>
      </c>
    </row>
    <row r="15" spans="1:14" ht="17.399999999999999" x14ac:dyDescent="0.3">
      <c r="J15" s="7" t="s">
        <v>834</v>
      </c>
    </row>
    <row r="17" spans="10:10" x14ac:dyDescent="0.3">
      <c r="J17" s="8" t="s">
        <v>835</v>
      </c>
    </row>
    <row r="18" spans="10:10" x14ac:dyDescent="0.3">
      <c r="J18" s="11"/>
    </row>
    <row r="19" spans="10:10" x14ac:dyDescent="0.3">
      <c r="J19" s="12" t="s">
        <v>836</v>
      </c>
    </row>
    <row r="20" spans="10:10" x14ac:dyDescent="0.3">
      <c r="J20" s="11"/>
    </row>
    <row r="21" spans="10:10" x14ac:dyDescent="0.3">
      <c r="J21" s="13" t="s">
        <v>837</v>
      </c>
    </row>
    <row r="22" spans="10:10" x14ac:dyDescent="0.3">
      <c r="J22" s="11"/>
    </row>
    <row r="23" spans="10:10" x14ac:dyDescent="0.3">
      <c r="J23" s="12" t="s">
        <v>838</v>
      </c>
    </row>
    <row r="24" spans="10:10" x14ac:dyDescent="0.3">
      <c r="J24" s="11"/>
    </row>
    <row r="25" spans="10:10" x14ac:dyDescent="0.3">
      <c r="J25" s="13" t="s">
        <v>839</v>
      </c>
    </row>
    <row r="26" spans="10:10" x14ac:dyDescent="0.3">
      <c r="J26" s="11"/>
    </row>
    <row r="27" spans="10:10" x14ac:dyDescent="0.3">
      <c r="J27" s="12" t="s">
        <v>840</v>
      </c>
    </row>
    <row r="28" spans="10:10" x14ac:dyDescent="0.3">
      <c r="J28" s="11"/>
    </row>
    <row r="29" spans="10:10" x14ac:dyDescent="0.3">
      <c r="J29" s="13" t="s">
        <v>841</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4"/>
  <sheetViews>
    <sheetView topLeftCell="C1" workbookViewId="0">
      <selection activeCell="D4" sqref="D4"/>
    </sheetView>
  </sheetViews>
  <sheetFormatPr defaultRowHeight="14.4" x14ac:dyDescent="0.3"/>
  <cols>
    <col min="2" max="2" width="79.6640625" customWidth="1"/>
    <col min="3" max="3" width="80.33203125" customWidth="1"/>
    <col min="4" max="4" width="75.21875" customWidth="1"/>
  </cols>
  <sheetData>
    <row r="2" spans="2:4" x14ac:dyDescent="0.3">
      <c r="B2" t="s">
        <v>763</v>
      </c>
    </row>
    <row r="3" spans="2:4" x14ac:dyDescent="0.3">
      <c r="B3" t="s">
        <v>766</v>
      </c>
      <c r="C3" t="s">
        <v>764</v>
      </c>
      <c r="D3" t="s">
        <v>767</v>
      </c>
    </row>
    <row r="4" spans="2:4" ht="272.39999999999998" customHeight="1" x14ac:dyDescent="0.3">
      <c r="B4" s="1" t="s">
        <v>762</v>
      </c>
      <c r="C4" s="1" t="s">
        <v>765</v>
      </c>
      <c r="D4" s="1" t="s">
        <v>768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2"/>
  <sheetViews>
    <sheetView workbookViewId="0">
      <selection activeCell="A5" sqref="A5"/>
    </sheetView>
  </sheetViews>
  <sheetFormatPr defaultRowHeight="14.4" x14ac:dyDescent="0.3"/>
  <sheetData>
    <row r="1" spans="2:2" x14ac:dyDescent="0.3">
      <c r="B1" t="s">
        <v>900</v>
      </c>
    </row>
    <row r="2" spans="2:2" x14ac:dyDescent="0.3">
      <c r="B2" t="s">
        <v>901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Lisa_guilds</vt:lpstr>
      <vt:lpstr>citation info</vt:lpstr>
      <vt:lpstr>R table</vt:lpstr>
      <vt:lpstr>final column id</vt:lpstr>
      <vt:lpstr>salmon</vt:lpstr>
      <vt:lpstr>sablefish</vt:lpstr>
      <vt:lpstr>pollock</vt:lpstr>
      <vt:lpstr>halibut</vt:lpstr>
      <vt:lpstr>Pcod</vt:lpstr>
      <vt:lpstr>AF</vt:lpstr>
      <vt:lpstr>sharks</vt:lpstr>
      <vt:lpstr>herring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Lisa.Crozier</dc:creator>
  <cp:lastModifiedBy>Lisa.Crozier</cp:lastModifiedBy>
  <dcterms:created xsi:type="dcterms:W3CDTF">2026-10-15T20:11:21Z</dcterms:created>
  <dcterms:modified xsi:type="dcterms:W3CDTF">2026-10-16T05:51:05Z</dcterms:modified>
</cp:coreProperties>
</file>